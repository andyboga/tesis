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3544a88b7f1cdf/Desktop/MCD/Tesis/Datos_fuente_Bloomberg/en valores/serie completa 2014-2024/Dataset/"/>
    </mc:Choice>
  </mc:AlternateContent>
  <xr:revisionPtr revIDLastSave="217" documentId="8_{6743D9D2-D71C-48EE-8CF8-6531843DEBBA}" xr6:coauthVersionLast="47" xr6:coauthVersionMax="47" xr10:uidLastSave="{9D36A8A0-8AA2-409F-BC31-9F85C46E3AE8}"/>
  <bookViews>
    <workbookView xWindow="-108" yWindow="-108" windowWidth="23256" windowHeight="12456" tabRatio="890" xr2:uid="{1A73256A-A82C-4AD4-969E-0F9BDB130430}"/>
  </bookViews>
  <sheets>
    <sheet name="dataset (2)" sheetId="3" r:id="rId1"/>
    <sheet name="dataset" sheetId="2" r:id="rId2"/>
    <sheet name="Hoja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2" i="4"/>
  <c r="U35" i="2"/>
</calcChain>
</file>

<file path=xl/sharedStrings.xml><?xml version="1.0" encoding="utf-8"?>
<sst xmlns="http://schemas.openxmlformats.org/spreadsheetml/2006/main" count="243" uniqueCount="87">
  <si>
    <t>Empresa</t>
  </si>
  <si>
    <t>Fecha</t>
  </si>
  <si>
    <t>P_E</t>
  </si>
  <si>
    <t>P_B</t>
  </si>
  <si>
    <t>P_S</t>
  </si>
  <si>
    <t>P_Share</t>
  </si>
  <si>
    <t>ROCE_sp</t>
  </si>
  <si>
    <t>ROCE_l</t>
  </si>
  <si>
    <t>EBIT_sp</t>
  </si>
  <si>
    <t>EBIT_l</t>
  </si>
  <si>
    <t>Total Activos_sp</t>
  </si>
  <si>
    <t>Total Activos_l</t>
  </si>
  <si>
    <t>Deuda a LP_sp</t>
  </si>
  <si>
    <t>Deuda a LP_l</t>
  </si>
  <si>
    <t>ROA_sp</t>
  </si>
  <si>
    <t>ROA_l</t>
  </si>
  <si>
    <t>Beneficio neto_sp</t>
  </si>
  <si>
    <t>Beneficio neto_l</t>
  </si>
  <si>
    <t>ROI_sp</t>
  </si>
  <si>
    <t>ROI_l</t>
  </si>
  <si>
    <t>EV_sp</t>
  </si>
  <si>
    <t>EV_l</t>
  </si>
  <si>
    <t>Cap de mercado_sp</t>
  </si>
  <si>
    <t>Cap de mercado_l</t>
  </si>
  <si>
    <t>Deuda a CP_sp</t>
  </si>
  <si>
    <t>Deuda a CP_l</t>
  </si>
  <si>
    <t>Efectivo y equiv_sp</t>
  </si>
  <si>
    <t>Efectivo y equiv_l</t>
  </si>
  <si>
    <t>CPI</t>
  </si>
  <si>
    <t>CPI_Exp_mediana</t>
  </si>
  <si>
    <t>CPI_Exp_promedio</t>
  </si>
  <si>
    <t>Fed Funds Rate</t>
  </si>
  <si>
    <t>Fed Funds Rate_Exp_mediana</t>
  </si>
  <si>
    <t>Fed Funds Rate_Exp_promedio</t>
  </si>
  <si>
    <t>Non farm payrolls</t>
  </si>
  <si>
    <t>Non farm payrolls_Exp_mediana</t>
  </si>
  <si>
    <t>Non farm payrolls_Exp_promedio</t>
  </si>
  <si>
    <t>DLO US Equity</t>
  </si>
  <si>
    <t>230k</t>
  </si>
  <si>
    <t>240k</t>
  </si>
  <si>
    <t>234.73k</t>
  </si>
  <si>
    <t>225k</t>
  </si>
  <si>
    <t>200k</t>
  </si>
  <si>
    <t>185k</t>
  </si>
  <si>
    <t>190k</t>
  </si>
  <si>
    <t>195k</t>
  </si>
  <si>
    <t>205k</t>
  </si>
  <si>
    <t>180k</t>
  </si>
  <si>
    <t>175k</t>
  </si>
  <si>
    <t>193k</t>
  </si>
  <si>
    <t>165k</t>
  </si>
  <si>
    <t>318k</t>
  </si>
  <si>
    <t>323.49k</t>
  </si>
  <si>
    <t>265k</t>
  </si>
  <si>
    <t>264.67k</t>
  </si>
  <si>
    <t>250k</t>
  </si>
  <si>
    <t>298k</t>
  </si>
  <si>
    <t>294.94k</t>
  </si>
  <si>
    <t>255k</t>
  </si>
  <si>
    <t>264.77k</t>
  </si>
  <si>
    <t>197.14k</t>
  </si>
  <si>
    <t>195.44k</t>
  </si>
  <si>
    <t>207.43k</t>
  </si>
  <si>
    <t>189k</t>
  </si>
  <si>
    <t>198.04k</t>
  </si>
  <si>
    <t>223.44k</t>
  </si>
  <si>
    <t>224.31k</t>
  </si>
  <si>
    <t>185.59k</t>
  </si>
  <si>
    <t>192.41k</t>
  </si>
  <si>
    <t>227.65k</t>
  </si>
  <si>
    <t>210.15k</t>
  </si>
  <si>
    <t>170k</t>
  </si>
  <si>
    <t>170.99k</t>
  </si>
  <si>
    <t>173.66k</t>
  </si>
  <si>
    <t>175.97k</t>
  </si>
  <si>
    <t>181.59k</t>
  </si>
  <si>
    <t>169.93k</t>
  </si>
  <si>
    <t>196.16k</t>
  </si>
  <si>
    <t>198.20k</t>
  </si>
  <si>
    <t>214k</t>
  </si>
  <si>
    <t>209.72k</t>
  </si>
  <si>
    <t>234.25k</t>
  </si>
  <si>
    <t>183.69k</t>
  </si>
  <si>
    <t>191.20k</t>
  </si>
  <si>
    <t>175.07k</t>
  </si>
  <si>
    <t>162.83k</t>
  </si>
  <si>
    <t>FQ1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</si>
</sst>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.00000_-;\-* #,##0.000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43" fontId="0" fillId="0" borderId="0" xfId="1" applyFont="1"/>
    <xf numFmtId="167" fontId="0" fillId="0" borderId="0" xfId="1" applyNumberFormat="1" applyFont="1"/>
    <xf numFmtId="0" fontId="0" fillId="0" borderId="0" xfId="0" applyFill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0DC1-DE7E-4235-92B1-BEAB3313A80F}">
  <dimension ref="A1:AK36"/>
  <sheetViews>
    <sheetView tabSelected="1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H31" sqref="H31"/>
    </sheetView>
  </sheetViews>
  <sheetFormatPr baseColWidth="10" defaultRowHeight="14.4" x14ac:dyDescent="0.3"/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</row>
    <row r="2" spans="1:37" x14ac:dyDescent="0.3">
      <c r="A2" s="1" t="s">
        <v>37</v>
      </c>
      <c r="B2" s="1">
        <v>20220630</v>
      </c>
      <c r="C2" s="1">
        <v>106.00409999999999</v>
      </c>
      <c r="D2" s="1">
        <v>27.627400000000002</v>
      </c>
      <c r="E2" s="1">
        <v>30.873899999999999</v>
      </c>
      <c r="F2" s="1">
        <v>26.25</v>
      </c>
      <c r="G2">
        <v>34.76</v>
      </c>
      <c r="H2" s="1">
        <v>34.76</v>
      </c>
      <c r="I2" s="1">
        <v>35.091999999999999</v>
      </c>
      <c r="J2" s="1">
        <v>35.091999999999999</v>
      </c>
      <c r="K2" s="1">
        <v>710.70399999999995</v>
      </c>
      <c r="L2" s="1">
        <v>710.70399999999995</v>
      </c>
      <c r="M2" s="1">
        <v>3.3759999999999999</v>
      </c>
      <c r="N2" s="1">
        <v>3.3759999999999999</v>
      </c>
      <c r="O2" s="1">
        <v>16.624400000000001</v>
      </c>
      <c r="P2" s="1">
        <v>16.624400000000001</v>
      </c>
      <c r="Q2" s="1">
        <v>30.571999999999999</v>
      </c>
      <c r="R2" s="1">
        <v>30.571999999999999</v>
      </c>
      <c r="S2" s="1">
        <v>32.58</v>
      </c>
      <c r="T2" s="1">
        <v>32.58</v>
      </c>
      <c r="U2" s="1">
        <v>3645.5967999999989</v>
      </c>
      <c r="V2" s="1">
        <v>3645.5967999999989</v>
      </c>
      <c r="W2" s="1">
        <v>7744.4965999999986</v>
      </c>
      <c r="X2" s="1">
        <v>7744.4965999999986</v>
      </c>
      <c r="Y2" s="1">
        <v>15.204000000000001</v>
      </c>
      <c r="Z2" s="1">
        <v>15.204000000000001</v>
      </c>
      <c r="AA2" s="1">
        <v>455.05</v>
      </c>
      <c r="AB2" s="1">
        <v>455.05</v>
      </c>
      <c r="AC2" s="1">
        <v>9.1</v>
      </c>
      <c r="AD2" s="1">
        <v>8.3000000000000004E-2</v>
      </c>
      <c r="AE2" s="1">
        <v>8.2600000000000007E-2</v>
      </c>
      <c r="AF2" s="1">
        <v>1.75</v>
      </c>
      <c r="AG2" s="1">
        <v>1.4999999999999999E-2</v>
      </c>
      <c r="AH2" s="1">
        <v>1.5900000000000001E-2</v>
      </c>
      <c r="AI2" s="1">
        <v>420</v>
      </c>
      <c r="AJ2" s="1" t="s">
        <v>51</v>
      </c>
      <c r="AK2" s="1" t="s">
        <v>52</v>
      </c>
    </row>
    <row r="3" spans="1:37" x14ac:dyDescent="0.3">
      <c r="A3" s="1" t="s">
        <v>37</v>
      </c>
      <c r="B3" s="1">
        <v>20220729</v>
      </c>
      <c r="C3" s="1">
        <v>112.18259999999999</v>
      </c>
      <c r="D3" s="1">
        <v>29.2377</v>
      </c>
      <c r="E3" s="1">
        <v>32.673400000000001</v>
      </c>
      <c r="F3" s="1">
        <v>27.78</v>
      </c>
      <c r="G3">
        <v>36.348862651670331</v>
      </c>
      <c r="H3" s="1">
        <v>35.071966666666668</v>
      </c>
      <c r="I3" s="1">
        <v>40.69123822368114</v>
      </c>
      <c r="J3" s="1">
        <v>35.805</v>
      </c>
      <c r="K3" s="1">
        <v>778.55931562697447</v>
      </c>
      <c r="L3" s="1">
        <v>751.99599999999998</v>
      </c>
      <c r="M3" s="1">
        <v>3.4238900254886731</v>
      </c>
      <c r="N3" s="1">
        <v>3.4003333333333332</v>
      </c>
      <c r="O3" s="1">
        <v>17.00603142868048</v>
      </c>
      <c r="P3" s="1">
        <v>16.656933333333331</v>
      </c>
      <c r="Q3" s="1">
        <v>37.031908647912758</v>
      </c>
      <c r="R3" s="1">
        <v>31.202000000000002</v>
      </c>
      <c r="S3" s="1">
        <v>34.16116769766446</v>
      </c>
      <c r="T3" s="1">
        <v>33.16363333333333</v>
      </c>
      <c r="U3" s="1">
        <v>4768.6448990885983</v>
      </c>
      <c r="V3" s="1">
        <v>4273.5527999999986</v>
      </c>
      <c r="W3" s="1">
        <v>7361.9802541929057</v>
      </c>
      <c r="X3" s="1">
        <v>7180.9922666666653</v>
      </c>
      <c r="Y3" s="1">
        <v>19.5577844828683</v>
      </c>
      <c r="Z3" s="1">
        <v>15.27166666666667</v>
      </c>
      <c r="AA3" s="1">
        <v>525.87271580340212</v>
      </c>
      <c r="AB3" s="1">
        <v>484.48766666666671</v>
      </c>
      <c r="AC3" s="1">
        <v>8.5</v>
      </c>
      <c r="AD3" s="1">
        <v>8.7999999999999995E-2</v>
      </c>
      <c r="AE3" s="1">
        <v>8.7300000000000003E-2</v>
      </c>
      <c r="AF3" s="1">
        <v>2.5</v>
      </c>
      <c r="AG3" s="1">
        <v>2.5000000000000001E-2</v>
      </c>
      <c r="AH3" s="1">
        <v>2.5000000000000001E-2</v>
      </c>
      <c r="AI3" s="1">
        <v>690</v>
      </c>
      <c r="AJ3" s="1" t="s">
        <v>53</v>
      </c>
      <c r="AK3" s="1" t="s">
        <v>54</v>
      </c>
    </row>
    <row r="4" spans="1:37" x14ac:dyDescent="0.3">
      <c r="A4" s="1" t="s">
        <v>37</v>
      </c>
      <c r="B4" s="1">
        <v>20220831</v>
      </c>
      <c r="C4" s="1">
        <v>100.43129999999999</v>
      </c>
      <c r="D4" s="1">
        <v>26.175000000000001</v>
      </c>
      <c r="E4" s="1">
        <v>29.250800000000002</v>
      </c>
      <c r="F4" s="1">
        <v>24.87</v>
      </c>
      <c r="G4">
        <v>36.509090121336271</v>
      </c>
      <c r="H4" s="1">
        <v>35.383933333333331</v>
      </c>
      <c r="I4" s="1">
        <v>40.71294613450047</v>
      </c>
      <c r="J4" s="1">
        <v>36.518000000000001</v>
      </c>
      <c r="K4" s="1">
        <v>817.47543027935751</v>
      </c>
      <c r="L4" s="1">
        <v>793.2879999999999</v>
      </c>
      <c r="M4" s="1">
        <v>3.4463786870576061</v>
      </c>
      <c r="N4" s="1">
        <v>3.424666666666667</v>
      </c>
      <c r="O4" s="1">
        <v>16.999767365166608</v>
      </c>
      <c r="P4" s="1">
        <v>16.689466666666672</v>
      </c>
      <c r="Q4" s="1">
        <v>36.829149140552452</v>
      </c>
      <c r="R4" s="1">
        <v>31.832000000000001</v>
      </c>
      <c r="S4" s="1">
        <v>34.633831935909349</v>
      </c>
      <c r="T4" s="1">
        <v>33.747266666666668</v>
      </c>
      <c r="U4" s="1">
        <v>5370.3777859375459</v>
      </c>
      <c r="V4" s="1">
        <v>4901.5087999999996</v>
      </c>
      <c r="W4" s="1">
        <v>6756.8334944654371</v>
      </c>
      <c r="X4" s="1">
        <v>6617.4879333333329</v>
      </c>
      <c r="Y4" s="1">
        <v>19.099872030739089</v>
      </c>
      <c r="Z4" s="1">
        <v>15.339333333333331</v>
      </c>
      <c r="AA4" s="1">
        <v>550.63979486494395</v>
      </c>
      <c r="AB4" s="1">
        <v>513.92533333333336</v>
      </c>
      <c r="AC4" s="1">
        <v>8.3000000000000007</v>
      </c>
      <c r="AD4" s="1">
        <v>8.6999999999999994E-2</v>
      </c>
      <c r="AE4" s="1">
        <v>8.7300000000000003E-2</v>
      </c>
      <c r="AF4" s="1">
        <v>2.5</v>
      </c>
      <c r="AG4" s="1">
        <v>2.5000000000000001E-2</v>
      </c>
      <c r="AH4" s="1">
        <v>2.5000000000000001E-2</v>
      </c>
      <c r="AI4" s="1">
        <v>243</v>
      </c>
      <c r="AJ4" s="1" t="s">
        <v>55</v>
      </c>
      <c r="AK4" s="1" t="s">
        <v>40</v>
      </c>
    </row>
    <row r="5" spans="1:37" x14ac:dyDescent="0.3">
      <c r="A5" s="1" t="s">
        <v>37</v>
      </c>
      <c r="B5" s="1">
        <v>20220930</v>
      </c>
      <c r="C5" s="1">
        <v>82.864900000000006</v>
      </c>
      <c r="D5" s="1">
        <v>21.596800000000002</v>
      </c>
      <c r="E5" s="1">
        <v>24.134599999999999</v>
      </c>
      <c r="F5" s="1">
        <v>20.52</v>
      </c>
      <c r="G5">
        <v>35.695900000000002</v>
      </c>
      <c r="H5" s="1">
        <v>35.695900000000002</v>
      </c>
      <c r="I5" s="1">
        <v>37.231000000000002</v>
      </c>
      <c r="J5" s="1">
        <v>37.231000000000002</v>
      </c>
      <c r="K5" s="1">
        <v>834.58</v>
      </c>
      <c r="L5" s="1">
        <v>834.57999999999993</v>
      </c>
      <c r="M5" s="1">
        <v>3.4489999999999998</v>
      </c>
      <c r="N5" s="1">
        <v>3.4489999999999998</v>
      </c>
      <c r="O5" s="1">
        <v>16.722000000000001</v>
      </c>
      <c r="P5" s="1">
        <v>16.722000000000001</v>
      </c>
      <c r="Q5" s="1">
        <v>32.462000000000003</v>
      </c>
      <c r="R5" s="1">
        <v>32.462000000000003</v>
      </c>
      <c r="S5" s="1">
        <v>34.3309</v>
      </c>
      <c r="T5" s="1">
        <v>34.3309</v>
      </c>
      <c r="U5" s="1">
        <v>5529.4647999999997</v>
      </c>
      <c r="V5" s="1">
        <v>5529.4647999999997</v>
      </c>
      <c r="W5" s="1">
        <v>6053.9835999999996</v>
      </c>
      <c r="X5" s="1">
        <v>6053.9835999999996</v>
      </c>
      <c r="Y5" s="1">
        <v>15.407</v>
      </c>
      <c r="Z5" s="1">
        <v>15.407</v>
      </c>
      <c r="AA5" s="1">
        <v>543.36300000000006</v>
      </c>
      <c r="AB5" s="1">
        <v>543.36300000000006</v>
      </c>
      <c r="AC5" s="1">
        <v>8.1999999999999993</v>
      </c>
      <c r="AD5" s="1">
        <v>8.1000000000000003E-2</v>
      </c>
      <c r="AE5" s="1">
        <v>8.0600000000000005E-2</v>
      </c>
      <c r="AF5" s="1">
        <v>3.25</v>
      </c>
      <c r="AG5" s="1">
        <v>3.2500000000000001E-2</v>
      </c>
      <c r="AH5" s="1">
        <v>3.2500000000000001E-2</v>
      </c>
      <c r="AI5" s="1">
        <v>255</v>
      </c>
      <c r="AJ5" s="1" t="s">
        <v>56</v>
      </c>
      <c r="AK5" s="1" t="s">
        <v>57</v>
      </c>
    </row>
    <row r="6" spans="1:37" x14ac:dyDescent="0.3">
      <c r="A6" s="1" t="s">
        <v>37</v>
      </c>
      <c r="B6" s="1">
        <v>20221031</v>
      </c>
      <c r="C6" s="1">
        <v>90.052999999999997</v>
      </c>
      <c r="D6" s="1">
        <v>23.470199999999998</v>
      </c>
      <c r="E6" s="1">
        <v>26.228100000000001</v>
      </c>
      <c r="F6" s="1">
        <v>22.3</v>
      </c>
      <c r="G6">
        <v>34.364509878663732</v>
      </c>
      <c r="H6" s="1">
        <v>34.453266666666657</v>
      </c>
      <c r="I6" s="1">
        <v>32.319276087721747</v>
      </c>
      <c r="J6" s="1">
        <v>33.654666666666671</v>
      </c>
      <c r="K6" s="1">
        <v>837.00068083175347</v>
      </c>
      <c r="L6" s="1">
        <v>831.82033333333334</v>
      </c>
      <c r="M6" s="1">
        <v>3.4372879796090601</v>
      </c>
      <c r="N6" s="1">
        <v>3.430333333333333</v>
      </c>
      <c r="O6" s="1">
        <v>16.28912152372228</v>
      </c>
      <c r="P6" s="1">
        <v>16.289200000000001</v>
      </c>
      <c r="Q6" s="1">
        <v>26.428739748336451</v>
      </c>
      <c r="R6" s="1">
        <v>28.093666666666671</v>
      </c>
      <c r="S6" s="1">
        <v>33.585279175201769</v>
      </c>
      <c r="T6" s="1">
        <v>33.586466666666666</v>
      </c>
      <c r="U6" s="1">
        <v>5324.5752807291192</v>
      </c>
      <c r="V6" s="1">
        <v>5065.4912000000004</v>
      </c>
      <c r="W6" s="1">
        <v>5378.3578499790056</v>
      </c>
      <c r="X6" s="1">
        <v>5572.1516999999994</v>
      </c>
      <c r="Y6" s="1">
        <v>10.05590574703869</v>
      </c>
      <c r="Z6" s="1">
        <v>10.5</v>
      </c>
      <c r="AA6" s="1">
        <v>518.05409402394491</v>
      </c>
      <c r="AB6" s="1">
        <v>518.70433333333335</v>
      </c>
      <c r="AC6" s="1">
        <v>7.7</v>
      </c>
      <c r="AD6" s="1">
        <v>8.1000000000000003E-2</v>
      </c>
      <c r="AE6" s="1">
        <v>8.09E-2</v>
      </c>
      <c r="AF6" s="1">
        <v>3.25</v>
      </c>
      <c r="AG6" s="1">
        <v>3.2500000000000001E-2</v>
      </c>
      <c r="AH6" s="1">
        <v>3.2500000000000001E-2</v>
      </c>
      <c r="AI6" s="1">
        <v>361</v>
      </c>
      <c r="AJ6" s="1" t="s">
        <v>58</v>
      </c>
      <c r="AK6" s="1" t="s">
        <v>59</v>
      </c>
    </row>
    <row r="7" spans="1:37" x14ac:dyDescent="0.3">
      <c r="A7" s="1" t="s">
        <v>37</v>
      </c>
      <c r="B7" s="1">
        <v>20221130</v>
      </c>
      <c r="C7" s="1">
        <v>58.958500000000001</v>
      </c>
      <c r="D7" s="1">
        <v>15.366099999999999</v>
      </c>
      <c r="E7" s="1">
        <v>17.171800000000001</v>
      </c>
      <c r="F7" s="1">
        <v>14.6</v>
      </c>
      <c r="G7">
        <v>32.970137348329672</v>
      </c>
      <c r="H7" s="1">
        <v>33.210633333333327</v>
      </c>
      <c r="I7" s="1">
        <v>28.051650665207749</v>
      </c>
      <c r="J7" s="1">
        <v>30.07833333333333</v>
      </c>
      <c r="K7" s="1">
        <v>831.86512881746989</v>
      </c>
      <c r="L7" s="1">
        <v>829.06066666666675</v>
      </c>
      <c r="M7" s="1">
        <v>3.416776641177993</v>
      </c>
      <c r="N7" s="1">
        <v>3.4116666666666671</v>
      </c>
      <c r="O7" s="1">
        <v>15.817524126875069</v>
      </c>
      <c r="P7" s="1">
        <v>15.856400000000001</v>
      </c>
      <c r="Q7" s="1">
        <v>21.227646907642789</v>
      </c>
      <c r="R7" s="1">
        <v>23.725333333333332</v>
      </c>
      <c r="S7" s="1">
        <v>32.729876746779993</v>
      </c>
      <c r="T7" s="1">
        <v>32.842033333333333</v>
      </c>
      <c r="U7" s="1">
        <v>4834.3785675780682</v>
      </c>
      <c r="V7" s="1">
        <v>4601.5176000000001</v>
      </c>
      <c r="W7" s="1">
        <v>4854.8835235848701</v>
      </c>
      <c r="X7" s="1">
        <v>5090.3198000000002</v>
      </c>
      <c r="Y7" s="1">
        <v>4.6233266282428094</v>
      </c>
      <c r="Z7" s="1">
        <v>5.593</v>
      </c>
      <c r="AA7" s="1">
        <v>488.7248397521534</v>
      </c>
      <c r="AB7" s="1">
        <v>494.0456666666667</v>
      </c>
      <c r="AC7" s="1">
        <v>7.1</v>
      </c>
      <c r="AD7" s="1">
        <v>7.9000000000000001E-2</v>
      </c>
      <c r="AE7" s="1">
        <v>7.9500000000000001E-2</v>
      </c>
      <c r="AF7" s="1">
        <v>4</v>
      </c>
      <c r="AG7" s="1">
        <v>0.04</v>
      </c>
      <c r="AH7" s="1">
        <v>3.9899999999999998E-2</v>
      </c>
      <c r="AI7" s="1">
        <v>258</v>
      </c>
      <c r="AJ7" s="1" t="s">
        <v>49</v>
      </c>
      <c r="AK7" s="1" t="s">
        <v>60</v>
      </c>
    </row>
    <row r="8" spans="1:37" x14ac:dyDescent="0.3">
      <c r="A8" s="1" t="s">
        <v>37</v>
      </c>
      <c r="B8" s="1">
        <v>20221230</v>
      </c>
      <c r="C8" s="1">
        <v>62.875599999999999</v>
      </c>
      <c r="D8" s="1">
        <v>16.387</v>
      </c>
      <c r="E8" s="1">
        <v>18.3126</v>
      </c>
      <c r="F8" s="1">
        <v>15.57</v>
      </c>
      <c r="G8">
        <v>31.968</v>
      </c>
      <c r="H8" s="1">
        <v>31.968</v>
      </c>
      <c r="I8" s="1">
        <v>26.501999999999999</v>
      </c>
      <c r="J8" s="1">
        <v>26.501999999999999</v>
      </c>
      <c r="K8" s="1">
        <v>826.30100000000016</v>
      </c>
      <c r="L8" s="1">
        <v>826.30100000000016</v>
      </c>
      <c r="M8" s="1">
        <v>3.3929999999999998</v>
      </c>
      <c r="N8" s="1">
        <v>3.3929999999999998</v>
      </c>
      <c r="O8" s="1">
        <v>15.4236</v>
      </c>
      <c r="P8" s="1">
        <v>15.4236</v>
      </c>
      <c r="Q8" s="1">
        <v>19.356999999999999</v>
      </c>
      <c r="R8" s="1">
        <v>19.356999999999999</v>
      </c>
      <c r="S8" s="1">
        <v>32.0976</v>
      </c>
      <c r="T8" s="1">
        <v>32.0976</v>
      </c>
      <c r="U8" s="1">
        <v>4137.5440000000008</v>
      </c>
      <c r="V8" s="1">
        <v>4137.5440000000008</v>
      </c>
      <c r="W8" s="1">
        <v>4608.4879000000001</v>
      </c>
      <c r="X8" s="1">
        <v>4608.4879000000001</v>
      </c>
      <c r="Y8" s="1">
        <v>0.68600000000000017</v>
      </c>
      <c r="Z8" s="1">
        <v>0.68599999999999994</v>
      </c>
      <c r="AA8" s="1">
        <v>469.387</v>
      </c>
      <c r="AB8" s="1">
        <v>469.387</v>
      </c>
      <c r="AC8" s="1">
        <v>6.5</v>
      </c>
      <c r="AD8" s="1">
        <v>7.2999999999999995E-2</v>
      </c>
      <c r="AE8" s="1">
        <v>7.2999999999999995E-2</v>
      </c>
      <c r="AF8" s="1">
        <v>4.5</v>
      </c>
      <c r="AG8" s="1">
        <v>4.4999999999999998E-2</v>
      </c>
      <c r="AH8" s="1">
        <v>4.4999999999999998E-2</v>
      </c>
      <c r="AI8" s="1">
        <v>136</v>
      </c>
      <c r="AJ8" s="1" t="s">
        <v>42</v>
      </c>
      <c r="AK8" s="1" t="s">
        <v>61</v>
      </c>
    </row>
    <row r="9" spans="1:37" x14ac:dyDescent="0.3">
      <c r="A9" s="1" t="s">
        <v>37</v>
      </c>
      <c r="B9" s="1">
        <v>20230131</v>
      </c>
      <c r="C9" s="1">
        <v>45.072000000000003</v>
      </c>
      <c r="D9" s="1">
        <v>12.272399999999999</v>
      </c>
      <c r="E9" s="1">
        <v>11.707100000000001</v>
      </c>
      <c r="F9" s="1">
        <v>16.59</v>
      </c>
      <c r="G9">
        <v>31.71046079663769</v>
      </c>
      <c r="H9" s="1">
        <v>32.342033333333333</v>
      </c>
      <c r="I9" s="1">
        <v>29.020472240246651</v>
      </c>
      <c r="J9" s="1">
        <v>30.78766666666667</v>
      </c>
      <c r="K9" s="1">
        <v>827.1402943793446</v>
      </c>
      <c r="L9" s="1">
        <v>840.97766666666678</v>
      </c>
      <c r="M9" s="1">
        <v>3.369995093112121</v>
      </c>
      <c r="N9" s="1">
        <v>3.367666666666667</v>
      </c>
      <c r="O9" s="1">
        <v>15.197263957911879</v>
      </c>
      <c r="P9" s="1">
        <v>15.3347</v>
      </c>
      <c r="Q9" s="1">
        <v>22.453354580963651</v>
      </c>
      <c r="R9" s="1">
        <v>24.719333333333331</v>
      </c>
      <c r="S9" s="1">
        <v>31.941130416343292</v>
      </c>
      <c r="T9" s="1">
        <v>32.299233333333333</v>
      </c>
      <c r="U9" s="1">
        <v>3331.9399631801052</v>
      </c>
      <c r="V9" s="1">
        <v>3462.456266666667</v>
      </c>
      <c r="W9" s="1">
        <v>4690.7587088540267</v>
      </c>
      <c r="X9" s="1">
        <v>4672.6179999999986</v>
      </c>
      <c r="Y9" s="1">
        <v>-0.65837043398602957</v>
      </c>
      <c r="Z9" s="1">
        <v>0.68366666666666664</v>
      </c>
      <c r="AA9" s="1">
        <v>470.60016736007731</v>
      </c>
      <c r="AB9" s="1">
        <v>485.66833333333341</v>
      </c>
      <c r="AC9" s="1">
        <v>6.4</v>
      </c>
      <c r="AD9" s="1">
        <v>6.5000000000000002E-2</v>
      </c>
      <c r="AE9" s="1">
        <v>6.4899999999999999E-2</v>
      </c>
      <c r="AF9" s="1">
        <v>4.5</v>
      </c>
      <c r="AG9" s="1">
        <v>4.4999999999999998E-2</v>
      </c>
      <c r="AH9" s="1">
        <v>4.4999999999999998E-2</v>
      </c>
      <c r="AI9" s="1">
        <v>482</v>
      </c>
      <c r="AJ9" s="1" t="s">
        <v>46</v>
      </c>
      <c r="AK9" s="1" t="s">
        <v>62</v>
      </c>
    </row>
    <row r="10" spans="1:37" x14ac:dyDescent="0.3">
      <c r="A10" s="1" t="s">
        <v>37</v>
      </c>
      <c r="B10" s="1">
        <v>20230228</v>
      </c>
      <c r="C10" s="1">
        <v>40.589199999999998</v>
      </c>
      <c r="D10" s="1">
        <v>11.0518</v>
      </c>
      <c r="E10" s="1">
        <v>10.5427</v>
      </c>
      <c r="F10" s="1">
        <v>14.94</v>
      </c>
      <c r="G10">
        <v>32.138464189048769</v>
      </c>
      <c r="H10" s="1">
        <v>32.716066666666663</v>
      </c>
      <c r="I10" s="1">
        <v>34.062303056520392</v>
      </c>
      <c r="J10" s="1">
        <v>35.073333333333338</v>
      </c>
      <c r="K10" s="1">
        <v>840.03238778409684</v>
      </c>
      <c r="L10" s="1">
        <v>855.65433333333328</v>
      </c>
      <c r="M10" s="1">
        <v>3.3458110445267208</v>
      </c>
      <c r="N10" s="1">
        <v>3.3423333333333329</v>
      </c>
      <c r="O10" s="1">
        <v>15.122521312518289</v>
      </c>
      <c r="P10" s="1">
        <v>15.245799999999999</v>
      </c>
      <c r="Q10" s="1">
        <v>28.70637433998753</v>
      </c>
      <c r="R10" s="1">
        <v>30.081666666666671</v>
      </c>
      <c r="S10" s="1">
        <v>32.192246262155898</v>
      </c>
      <c r="T10" s="1">
        <v>32.500866666666667</v>
      </c>
      <c r="U10" s="1">
        <v>2592.231025231667</v>
      </c>
      <c r="V10" s="1">
        <v>2787.3685333333328</v>
      </c>
      <c r="W10" s="1">
        <v>4859.925481565454</v>
      </c>
      <c r="X10" s="1">
        <v>4736.7480999999998</v>
      </c>
      <c r="Y10" s="1">
        <v>-0.2282155807473564</v>
      </c>
      <c r="Z10" s="1">
        <v>0.68133333333333324</v>
      </c>
      <c r="AA10" s="1">
        <v>489.11525353384991</v>
      </c>
      <c r="AB10" s="1">
        <v>501.94966666666659</v>
      </c>
      <c r="AC10" s="1">
        <v>6</v>
      </c>
      <c r="AD10" s="1">
        <v>6.2E-2</v>
      </c>
      <c r="AE10" s="1">
        <v>6.2399999999999997E-2</v>
      </c>
      <c r="AF10" s="1">
        <v>4.75</v>
      </c>
      <c r="AG10" s="1">
        <v>4.7500000000000001E-2</v>
      </c>
      <c r="AH10" s="1">
        <v>4.7500000000000001E-2</v>
      </c>
      <c r="AI10" s="1">
        <v>287</v>
      </c>
      <c r="AJ10" s="1" t="s">
        <v>63</v>
      </c>
      <c r="AK10" s="1" t="s">
        <v>64</v>
      </c>
    </row>
    <row r="11" spans="1:37" x14ac:dyDescent="0.3">
      <c r="A11" s="1" t="s">
        <v>37</v>
      </c>
      <c r="B11" s="1">
        <v>20230331</v>
      </c>
      <c r="C11" s="1">
        <v>44.066699999999997</v>
      </c>
      <c r="D11" s="1">
        <v>11.998699999999999</v>
      </c>
      <c r="E11" s="1">
        <v>11.446</v>
      </c>
      <c r="F11" s="1">
        <v>16.22</v>
      </c>
      <c r="G11">
        <v>33.090099999999993</v>
      </c>
      <c r="H11" s="1">
        <v>33.090099999999993</v>
      </c>
      <c r="I11" s="1">
        <v>39.359000000000002</v>
      </c>
      <c r="J11" s="1">
        <v>39.359000000000002</v>
      </c>
      <c r="K11" s="1">
        <v>870.33099999999979</v>
      </c>
      <c r="L11" s="1">
        <v>870.3309999999999</v>
      </c>
      <c r="M11" s="1">
        <v>3.3170000000000002</v>
      </c>
      <c r="N11" s="1">
        <v>3.3170000000000002</v>
      </c>
      <c r="O11" s="1">
        <v>15.1569</v>
      </c>
      <c r="P11" s="1">
        <v>15.1569</v>
      </c>
      <c r="Q11" s="1">
        <v>35.444000000000003</v>
      </c>
      <c r="R11" s="1">
        <v>35.444000000000003</v>
      </c>
      <c r="S11" s="1">
        <v>32.702500000000001</v>
      </c>
      <c r="T11" s="1">
        <v>32.702500000000001</v>
      </c>
      <c r="U11" s="1">
        <v>2112.2808</v>
      </c>
      <c r="V11" s="1">
        <v>2112.2808</v>
      </c>
      <c r="W11" s="1">
        <v>4800.8781999999983</v>
      </c>
      <c r="X11" s="1">
        <v>4800.8781999999992</v>
      </c>
      <c r="Y11" s="1">
        <v>0.67899999999999983</v>
      </c>
      <c r="Z11" s="1">
        <v>0.67899999999999994</v>
      </c>
      <c r="AA11" s="1">
        <v>518.23099999999988</v>
      </c>
      <c r="AB11" s="1">
        <v>518.23099999999999</v>
      </c>
      <c r="AC11" s="1">
        <v>5</v>
      </c>
      <c r="AD11" s="1">
        <v>0.06</v>
      </c>
      <c r="AE11" s="1">
        <v>6.0400000000000002E-2</v>
      </c>
      <c r="AF11" s="1">
        <v>5</v>
      </c>
      <c r="AG11" s="1">
        <v>0.05</v>
      </c>
      <c r="AH11" s="1">
        <v>4.9700000000000001E-2</v>
      </c>
      <c r="AI11" s="1">
        <v>146</v>
      </c>
      <c r="AJ11" s="1" t="s">
        <v>41</v>
      </c>
      <c r="AK11" s="1" t="s">
        <v>65</v>
      </c>
    </row>
    <row r="12" spans="1:37" x14ac:dyDescent="0.3">
      <c r="A12" s="1" t="s">
        <v>37</v>
      </c>
      <c r="B12" s="1">
        <v>20230428</v>
      </c>
      <c r="C12" s="1">
        <v>38.035400000000003</v>
      </c>
      <c r="D12" s="1">
        <v>10.356400000000001</v>
      </c>
      <c r="E12" s="1">
        <v>9.8794000000000004</v>
      </c>
      <c r="F12" s="1">
        <v>14</v>
      </c>
      <c r="G12">
        <v>34.351128416266938</v>
      </c>
      <c r="H12" s="1">
        <v>34.078333333333333</v>
      </c>
      <c r="I12" s="1">
        <v>43.148501617958267</v>
      </c>
      <c r="J12" s="1">
        <v>42.161666666666669</v>
      </c>
      <c r="K12" s="1">
        <v>919.30040091012802</v>
      </c>
      <c r="L12" s="1">
        <v>916.48333333333323</v>
      </c>
      <c r="M12" s="1">
        <v>3.28469461090542</v>
      </c>
      <c r="N12" s="1">
        <v>3.3086666666666669</v>
      </c>
      <c r="O12" s="1">
        <v>15.25269301500057</v>
      </c>
      <c r="P12" s="1">
        <v>15.22083333333333</v>
      </c>
      <c r="Q12" s="1">
        <v>40.470212298179327</v>
      </c>
      <c r="R12" s="1">
        <v>38.528333333333343</v>
      </c>
      <c r="S12" s="1">
        <v>33.303947307573232</v>
      </c>
      <c r="T12" s="1">
        <v>33.060733333333332</v>
      </c>
      <c r="U12" s="1">
        <v>2040.1658480319429</v>
      </c>
      <c r="V12" s="1">
        <v>2385.9765666666672</v>
      </c>
      <c r="W12" s="1">
        <v>4328.6169034937711</v>
      </c>
      <c r="X12" s="1">
        <v>4406.0265999999992</v>
      </c>
      <c r="Y12" s="1">
        <v>1.0393908037202439</v>
      </c>
      <c r="Z12" s="1">
        <v>0.67766666666666664</v>
      </c>
      <c r="AA12" s="1">
        <v>551.20101431352339</v>
      </c>
      <c r="AB12" s="1">
        <v>545.80433333333337</v>
      </c>
      <c r="AC12" s="1">
        <v>4.9000000000000004</v>
      </c>
      <c r="AD12" s="1">
        <v>5.0999999999999997E-2</v>
      </c>
      <c r="AE12" s="1">
        <v>5.16E-2</v>
      </c>
      <c r="AF12" s="1">
        <v>5</v>
      </c>
      <c r="AG12" s="1">
        <v>0.05</v>
      </c>
      <c r="AH12" s="1">
        <v>4.9700000000000001E-2</v>
      </c>
      <c r="AI12" s="1">
        <v>278</v>
      </c>
      <c r="AJ12" s="1" t="s">
        <v>38</v>
      </c>
      <c r="AK12" s="1" t="s">
        <v>66</v>
      </c>
    </row>
    <row r="13" spans="1:37" x14ac:dyDescent="0.3">
      <c r="A13" s="1" t="s">
        <v>37</v>
      </c>
      <c r="B13" s="1">
        <v>20230531</v>
      </c>
      <c r="C13" s="1">
        <v>31.623699999999999</v>
      </c>
      <c r="D13" s="1">
        <v>8.6105999999999998</v>
      </c>
      <c r="E13" s="1">
        <v>8.2140000000000004</v>
      </c>
      <c r="F13" s="1">
        <v>11.64</v>
      </c>
      <c r="G13">
        <v>35.497991080660412</v>
      </c>
      <c r="H13" s="1">
        <v>35.06656666666666</v>
      </c>
      <c r="I13" s="1">
        <v>45.694470442044029</v>
      </c>
      <c r="J13" s="1">
        <v>44.964333333333343</v>
      </c>
      <c r="K13" s="1">
        <v>971.84706078688316</v>
      </c>
      <c r="L13" s="1">
        <v>962.63566666666668</v>
      </c>
      <c r="M13" s="1">
        <v>3.2683495510854952</v>
      </c>
      <c r="N13" s="1">
        <v>3.3003333333333331</v>
      </c>
      <c r="O13" s="1">
        <v>15.34125358601473</v>
      </c>
      <c r="P13" s="1">
        <v>15.28476666666667</v>
      </c>
      <c r="Q13" s="1">
        <v>43.493152028703399</v>
      </c>
      <c r="R13" s="1">
        <v>41.612666666666676</v>
      </c>
      <c r="S13" s="1">
        <v>33.75065672311495</v>
      </c>
      <c r="T13" s="1">
        <v>33.418966666666662</v>
      </c>
      <c r="U13" s="1">
        <v>2340.8145166804511</v>
      </c>
      <c r="V13" s="1">
        <v>2659.6723333333339</v>
      </c>
      <c r="W13" s="1">
        <v>3778.5818612644239</v>
      </c>
      <c r="X13" s="1">
        <v>4011.1750000000002</v>
      </c>
      <c r="Y13" s="1">
        <v>0.92338754659847078</v>
      </c>
      <c r="Z13" s="1">
        <v>0.67633333333333334</v>
      </c>
      <c r="AA13" s="1">
        <v>581.09836833466932</v>
      </c>
      <c r="AB13" s="1">
        <v>573.37766666666676</v>
      </c>
      <c r="AC13" s="1">
        <v>4</v>
      </c>
      <c r="AD13" s="1">
        <v>0.05</v>
      </c>
      <c r="AE13" s="1">
        <v>0.05</v>
      </c>
      <c r="AF13" s="1">
        <v>5.25</v>
      </c>
      <c r="AG13" s="1">
        <v>5.2499999999999998E-2</v>
      </c>
      <c r="AH13" s="1">
        <v>5.2299999999999999E-2</v>
      </c>
      <c r="AI13" s="1">
        <v>303</v>
      </c>
      <c r="AJ13" s="1" t="s">
        <v>43</v>
      </c>
      <c r="AK13" s="1" t="s">
        <v>67</v>
      </c>
    </row>
    <row r="14" spans="1:37" x14ac:dyDescent="0.3">
      <c r="A14" s="1" t="s">
        <v>37</v>
      </c>
      <c r="B14" s="1">
        <v>20230630</v>
      </c>
      <c r="C14" s="1">
        <v>33.158700000000003</v>
      </c>
      <c r="D14" s="1">
        <v>9.0286000000000008</v>
      </c>
      <c r="E14" s="1">
        <v>8.6127000000000002</v>
      </c>
      <c r="F14" s="1">
        <v>12.205</v>
      </c>
      <c r="G14">
        <v>36.054799999999993</v>
      </c>
      <c r="H14" s="1">
        <v>36.054799999999993</v>
      </c>
      <c r="I14" s="1">
        <v>47.76700000000001</v>
      </c>
      <c r="J14" s="1">
        <v>47.76700000000001</v>
      </c>
      <c r="K14" s="1">
        <v>1008.788</v>
      </c>
      <c r="L14" s="1">
        <v>1008.788</v>
      </c>
      <c r="M14" s="1">
        <v>3.2919999999999998</v>
      </c>
      <c r="N14" s="1">
        <v>3.2919999999999998</v>
      </c>
      <c r="O14" s="1">
        <v>15.348699999999999</v>
      </c>
      <c r="P14" s="1">
        <v>15.348699999999999</v>
      </c>
      <c r="Q14" s="1">
        <v>44.69700000000001</v>
      </c>
      <c r="R14" s="1">
        <v>44.69700000000001</v>
      </c>
      <c r="S14" s="1">
        <v>33.777199999999993</v>
      </c>
      <c r="T14" s="1">
        <v>33.777199999999993</v>
      </c>
      <c r="U14" s="1">
        <v>2933.368100000001</v>
      </c>
      <c r="V14" s="1">
        <v>2933.368100000001</v>
      </c>
      <c r="W14" s="1">
        <v>3616.3234000000002</v>
      </c>
      <c r="X14" s="1">
        <v>3616.3234000000002</v>
      </c>
      <c r="Y14" s="1">
        <v>0.67500000000000004</v>
      </c>
      <c r="Z14" s="1">
        <v>0.67500000000000004</v>
      </c>
      <c r="AA14" s="1">
        <v>600.95100000000014</v>
      </c>
      <c r="AB14" s="1">
        <v>600.95100000000014</v>
      </c>
      <c r="AC14" s="1">
        <v>3</v>
      </c>
      <c r="AD14" s="1">
        <v>4.1000000000000002E-2</v>
      </c>
      <c r="AE14" s="1">
        <v>4.1099999999999998E-2</v>
      </c>
      <c r="AF14" s="1">
        <v>5.25</v>
      </c>
      <c r="AG14" s="1">
        <v>5.2499999999999998E-2</v>
      </c>
      <c r="AH14" s="1">
        <v>5.2699999999999997E-2</v>
      </c>
      <c r="AI14" s="1">
        <v>240</v>
      </c>
      <c r="AJ14" s="1" t="s">
        <v>45</v>
      </c>
      <c r="AK14" s="1" t="s">
        <v>68</v>
      </c>
    </row>
    <row r="15" spans="1:37" x14ac:dyDescent="0.3">
      <c r="A15" s="1" t="s">
        <v>37</v>
      </c>
      <c r="B15" s="1">
        <v>20230731</v>
      </c>
      <c r="C15" s="1">
        <v>41.214100000000002</v>
      </c>
      <c r="D15" s="1">
        <v>11.2219</v>
      </c>
      <c r="E15" s="1">
        <v>10.705</v>
      </c>
      <c r="F15" s="1">
        <v>15.17</v>
      </c>
      <c r="G15">
        <v>35.736747760516728</v>
      </c>
      <c r="H15" s="1">
        <v>35.564933333333329</v>
      </c>
      <c r="I15" s="1">
        <v>49.865262028660993</v>
      </c>
      <c r="J15" s="1">
        <v>49.021333333333338</v>
      </c>
      <c r="K15" s="1">
        <v>1017.362953831995</v>
      </c>
      <c r="L15" s="1">
        <v>1008.378666666667</v>
      </c>
      <c r="M15" s="1">
        <v>3.3673005373402711</v>
      </c>
      <c r="N15" s="1">
        <v>3.3643333333333332</v>
      </c>
      <c r="O15" s="1">
        <v>15.239415833937681</v>
      </c>
      <c r="P15" s="1">
        <v>15.292033333333331</v>
      </c>
      <c r="Q15" s="1">
        <v>44.305648078170933</v>
      </c>
      <c r="R15" s="1">
        <v>43.234000000000002</v>
      </c>
      <c r="S15" s="1">
        <v>33.252606279289708</v>
      </c>
      <c r="T15" s="1">
        <v>33.288766666666668</v>
      </c>
      <c r="U15" s="1">
        <v>3710.9067409884178</v>
      </c>
      <c r="V15" s="1">
        <v>3605.6521333333339</v>
      </c>
      <c r="W15" s="1">
        <v>4143.2559845782916</v>
      </c>
      <c r="X15" s="1">
        <v>4304.2297666666664</v>
      </c>
      <c r="Y15" s="1">
        <v>0.56617758947542518</v>
      </c>
      <c r="Z15" s="1">
        <v>0.66</v>
      </c>
      <c r="AA15" s="1">
        <v>606.43740501545858</v>
      </c>
      <c r="AB15" s="1">
        <v>601.32900000000006</v>
      </c>
      <c r="AC15" s="1">
        <v>3.2</v>
      </c>
      <c r="AD15" s="1">
        <v>3.1E-2</v>
      </c>
      <c r="AE15" s="1">
        <v>3.09E-2</v>
      </c>
      <c r="AF15" s="1">
        <v>5.5</v>
      </c>
      <c r="AG15" s="1">
        <v>5.5E-2</v>
      </c>
      <c r="AH15" s="1">
        <v>5.4899999999999997E-2</v>
      </c>
      <c r="AI15" s="1">
        <v>184</v>
      </c>
      <c r="AJ15" s="1" t="s">
        <v>38</v>
      </c>
      <c r="AK15" s="1" t="s">
        <v>69</v>
      </c>
    </row>
    <row r="16" spans="1:37" x14ac:dyDescent="0.3">
      <c r="A16" s="1" t="s">
        <v>37</v>
      </c>
      <c r="B16" s="1">
        <v>20230831</v>
      </c>
      <c r="C16" s="1">
        <v>58.2485</v>
      </c>
      <c r="D16" s="1">
        <v>15.860099999999999</v>
      </c>
      <c r="E16" s="1">
        <v>15.1296</v>
      </c>
      <c r="F16" s="1">
        <v>21.44</v>
      </c>
      <c r="G16">
        <v>35.023349266087337</v>
      </c>
      <c r="H16" s="1">
        <v>35.075066666666658</v>
      </c>
      <c r="I16" s="1">
        <v>51.404741101229483</v>
      </c>
      <c r="J16" s="1">
        <v>50.275666666666673</v>
      </c>
      <c r="K16" s="1">
        <v>1010.502517216518</v>
      </c>
      <c r="L16" s="1">
        <v>1007.969333333333</v>
      </c>
      <c r="M16" s="1">
        <v>3.45638334372389</v>
      </c>
      <c r="N16" s="1">
        <v>3.436666666666667</v>
      </c>
      <c r="O16" s="1">
        <v>15.130845824904259</v>
      </c>
      <c r="P16" s="1">
        <v>15.235366666666669</v>
      </c>
      <c r="Q16" s="1">
        <v>42.701832360013739</v>
      </c>
      <c r="R16" s="1">
        <v>41.771000000000001</v>
      </c>
      <c r="S16" s="1">
        <v>32.583734252791672</v>
      </c>
      <c r="T16" s="1">
        <v>32.800333333333327</v>
      </c>
      <c r="U16" s="1">
        <v>4462.2659784169036</v>
      </c>
      <c r="V16" s="1">
        <v>4277.9361666666673</v>
      </c>
      <c r="W16" s="1">
        <v>5004.2506326361054</v>
      </c>
      <c r="X16" s="1">
        <v>4992.1361333333334</v>
      </c>
      <c r="Y16" s="1">
        <v>0.58062835731643703</v>
      </c>
      <c r="Z16" s="1">
        <v>0.64499999999999991</v>
      </c>
      <c r="AA16" s="1">
        <v>603.83831016451006</v>
      </c>
      <c r="AB16" s="1">
        <v>601.70700000000011</v>
      </c>
      <c r="AC16" s="1">
        <v>3.7</v>
      </c>
      <c r="AD16" s="1">
        <v>3.3000000000000002E-2</v>
      </c>
      <c r="AE16" s="1">
        <v>3.2599999999999997E-2</v>
      </c>
      <c r="AF16" s="1">
        <v>5.5</v>
      </c>
      <c r="AG16" s="1">
        <v>5.5E-2</v>
      </c>
      <c r="AH16" s="1">
        <v>5.4899999999999997E-2</v>
      </c>
      <c r="AI16" s="1">
        <v>210</v>
      </c>
      <c r="AJ16" s="1" t="s">
        <v>42</v>
      </c>
      <c r="AK16" s="1" t="s">
        <v>70</v>
      </c>
    </row>
    <row r="17" spans="1:37" x14ac:dyDescent="0.3">
      <c r="A17" s="1" t="s">
        <v>37</v>
      </c>
      <c r="B17" s="1">
        <v>20230929</v>
      </c>
      <c r="C17" s="1">
        <v>52.081400000000002</v>
      </c>
      <c r="D17" s="1">
        <v>14.180899999999999</v>
      </c>
      <c r="E17" s="1">
        <v>13.527699999999999</v>
      </c>
      <c r="F17" s="1">
        <v>19.170000000000002</v>
      </c>
      <c r="G17">
        <v>34.585199999999993</v>
      </c>
      <c r="H17" s="1">
        <v>34.585199999999993</v>
      </c>
      <c r="I17" s="1">
        <v>51.529999999999987</v>
      </c>
      <c r="J17" s="1">
        <v>51.53</v>
      </c>
      <c r="K17" s="1">
        <v>1007.56</v>
      </c>
      <c r="L17" s="1">
        <v>1007.56</v>
      </c>
      <c r="M17" s="1">
        <v>3.508999999999999</v>
      </c>
      <c r="N17" s="1">
        <v>3.5089999999999999</v>
      </c>
      <c r="O17" s="1">
        <v>15.178699999999999</v>
      </c>
      <c r="P17" s="1">
        <v>15.178699999999999</v>
      </c>
      <c r="Q17" s="1">
        <v>40.307999999999993</v>
      </c>
      <c r="R17" s="1">
        <v>40.307999999999993</v>
      </c>
      <c r="S17" s="1">
        <v>32.311900000000009</v>
      </c>
      <c r="T17" s="1">
        <v>32.311900000000009</v>
      </c>
      <c r="U17" s="1">
        <v>4950.2202000000007</v>
      </c>
      <c r="V17" s="1">
        <v>4950.2202000000007</v>
      </c>
      <c r="W17" s="1">
        <v>5680.0424999999987</v>
      </c>
      <c r="X17" s="1">
        <v>5680.0424999999996</v>
      </c>
      <c r="Y17" s="1">
        <v>0.62999999999999989</v>
      </c>
      <c r="Z17" s="1">
        <v>0.62999999999999989</v>
      </c>
      <c r="AA17" s="1">
        <v>602.08500000000004</v>
      </c>
      <c r="AB17" s="1">
        <v>602.08500000000004</v>
      </c>
      <c r="AC17" s="1">
        <v>3.7</v>
      </c>
      <c r="AD17" s="1">
        <v>3.5999999999999997E-2</v>
      </c>
      <c r="AE17" s="1">
        <v>3.6200000000000003E-2</v>
      </c>
      <c r="AF17" s="1">
        <v>5.5</v>
      </c>
      <c r="AG17" s="1">
        <v>5.5E-2</v>
      </c>
      <c r="AH17" s="1">
        <v>5.5100000000000003E-2</v>
      </c>
      <c r="AI17" s="1">
        <v>246</v>
      </c>
      <c r="AJ17" s="1" t="s">
        <v>71</v>
      </c>
      <c r="AK17" s="1" t="s">
        <v>72</v>
      </c>
    </row>
    <row r="18" spans="1:37" x14ac:dyDescent="0.3">
      <c r="A18" s="1" t="s">
        <v>37</v>
      </c>
      <c r="B18" s="1">
        <v>20231031</v>
      </c>
      <c r="C18" s="1">
        <v>45.778300000000002</v>
      </c>
      <c r="D18" s="1">
        <v>12.464700000000001</v>
      </c>
      <c r="E18" s="1">
        <v>11.890599999999999</v>
      </c>
      <c r="F18" s="1">
        <v>16.850000000000001</v>
      </c>
      <c r="G18">
        <v>34.842191652777252</v>
      </c>
      <c r="H18" s="1">
        <v>34.676533333333332</v>
      </c>
      <c r="I18" s="1">
        <v>49.612820637768188</v>
      </c>
      <c r="J18" s="1">
        <v>48.020333333333333</v>
      </c>
      <c r="K18" s="1">
        <v>1023.025005984113</v>
      </c>
      <c r="L18" s="1">
        <v>1033.191</v>
      </c>
      <c r="M18" s="1">
        <v>3.4891773138075668</v>
      </c>
      <c r="N18" s="1">
        <v>3.449666666666666</v>
      </c>
      <c r="O18" s="1">
        <v>15.45625476035981</v>
      </c>
      <c r="P18" s="1">
        <v>15.31653333333333</v>
      </c>
      <c r="Q18" s="1">
        <v>37.394899092840681</v>
      </c>
      <c r="R18" s="1">
        <v>36.377000000000002</v>
      </c>
      <c r="S18" s="1">
        <v>32.762346093786462</v>
      </c>
      <c r="T18" s="1">
        <v>32.693866666666672</v>
      </c>
      <c r="U18" s="1">
        <v>5012.5850287551266</v>
      </c>
      <c r="V18" s="1">
        <v>4795.9834666666666</v>
      </c>
      <c r="W18" s="1">
        <v>5789.0973507856534</v>
      </c>
      <c r="X18" s="1">
        <v>5494.1214666666656</v>
      </c>
      <c r="Y18" s="1">
        <v>0.64526920874842542</v>
      </c>
      <c r="Z18" s="1">
        <v>0.6286666666666666</v>
      </c>
      <c r="AA18" s="1">
        <v>608.16892118019769</v>
      </c>
      <c r="AB18" s="1">
        <v>614.33566666666673</v>
      </c>
      <c r="AC18" s="1">
        <v>3.2</v>
      </c>
      <c r="AD18" s="1">
        <v>3.5999999999999997E-2</v>
      </c>
      <c r="AE18" s="1">
        <v>3.5999999999999997E-2</v>
      </c>
      <c r="AF18" s="1">
        <v>5.5</v>
      </c>
      <c r="AG18" s="1">
        <v>5.5E-2</v>
      </c>
      <c r="AH18" s="1">
        <v>5.5100000000000003E-2</v>
      </c>
      <c r="AI18" s="1">
        <v>165</v>
      </c>
      <c r="AJ18" s="1" t="s">
        <v>71</v>
      </c>
      <c r="AK18" s="1" t="s">
        <v>73</v>
      </c>
    </row>
    <row r="19" spans="1:37" x14ac:dyDescent="0.3">
      <c r="A19" s="1" t="s">
        <v>37</v>
      </c>
      <c r="B19" s="1">
        <v>20231130</v>
      </c>
      <c r="C19" s="1">
        <v>46.865099999999998</v>
      </c>
      <c r="D19" s="1">
        <v>12.7606</v>
      </c>
      <c r="E19" s="1">
        <v>12.172800000000001</v>
      </c>
      <c r="F19" s="1">
        <v>17.25</v>
      </c>
      <c r="G19">
        <v>35.211400743879118</v>
      </c>
      <c r="H19" s="1">
        <v>34.767866666666663</v>
      </c>
      <c r="I19" s="1">
        <v>45.933861449334373</v>
      </c>
      <c r="J19" s="1">
        <v>44.510666666666673</v>
      </c>
      <c r="K19" s="1">
        <v>1051.932314791489</v>
      </c>
      <c r="L19" s="1">
        <v>1058.8219999999999</v>
      </c>
      <c r="M19" s="1">
        <v>3.4180429999448658</v>
      </c>
      <c r="N19" s="1">
        <v>3.390333333333333</v>
      </c>
      <c r="O19" s="1">
        <v>15.70705200325712</v>
      </c>
      <c r="P19" s="1">
        <v>15.454366666666671</v>
      </c>
      <c r="Q19" s="1">
        <v>33.626481494204597</v>
      </c>
      <c r="R19" s="1">
        <v>32.445999999999998</v>
      </c>
      <c r="S19" s="1">
        <v>33.396021080533181</v>
      </c>
      <c r="T19" s="1">
        <v>33.075833333333343</v>
      </c>
      <c r="U19" s="1">
        <v>4787.3410289111971</v>
      </c>
      <c r="V19" s="1">
        <v>4641.7467333333334</v>
      </c>
      <c r="W19" s="1">
        <v>5500.8033822652251</v>
      </c>
      <c r="X19" s="1">
        <v>5308.2004333333334</v>
      </c>
      <c r="Y19" s="1">
        <v>0.63472865376541088</v>
      </c>
      <c r="Z19" s="1">
        <v>0.62733333333333319</v>
      </c>
      <c r="AA19" s="1">
        <v>621.32216878506813</v>
      </c>
      <c r="AB19" s="1">
        <v>626.58633333333341</v>
      </c>
      <c r="AC19" s="1">
        <v>3.1</v>
      </c>
      <c r="AD19" s="1">
        <v>3.3000000000000002E-2</v>
      </c>
      <c r="AE19" s="1">
        <v>3.3099999999999997E-2</v>
      </c>
      <c r="AF19" s="1">
        <v>5.5</v>
      </c>
      <c r="AG19" s="1">
        <v>5.5E-2</v>
      </c>
      <c r="AH19" s="1">
        <v>5.5E-2</v>
      </c>
      <c r="AI19" s="1">
        <v>182</v>
      </c>
      <c r="AJ19" s="1" t="s">
        <v>47</v>
      </c>
      <c r="AK19" s="1" t="s">
        <v>74</v>
      </c>
    </row>
    <row r="20" spans="1:37" x14ac:dyDescent="0.3">
      <c r="A20" s="1" t="s">
        <v>37</v>
      </c>
      <c r="B20" s="1">
        <v>20231229</v>
      </c>
      <c r="C20" s="1">
        <v>48.060499999999998</v>
      </c>
      <c r="D20" s="1">
        <v>13.0861</v>
      </c>
      <c r="E20" s="1">
        <v>12.4833</v>
      </c>
      <c r="F20" s="1">
        <v>17.690000000000001</v>
      </c>
      <c r="G20">
        <v>34.859200000000001</v>
      </c>
      <c r="H20" s="1">
        <v>34.859200000000001</v>
      </c>
      <c r="I20" s="1">
        <v>41.000999999999991</v>
      </c>
      <c r="J20" s="1">
        <v>41.000999999999998</v>
      </c>
      <c r="K20" s="1">
        <v>1084.453</v>
      </c>
      <c r="L20" s="1">
        <v>1084.453</v>
      </c>
      <c r="M20" s="1">
        <v>3.331</v>
      </c>
      <c r="N20" s="1">
        <v>3.331</v>
      </c>
      <c r="O20" s="1">
        <v>15.5922</v>
      </c>
      <c r="P20" s="1">
        <v>15.5922</v>
      </c>
      <c r="Q20" s="1">
        <v>28.515000000000001</v>
      </c>
      <c r="R20" s="1">
        <v>28.515000000000001</v>
      </c>
      <c r="S20" s="1">
        <v>33.457799999999999</v>
      </c>
      <c r="T20" s="1">
        <v>33.457799999999999</v>
      </c>
      <c r="U20" s="1">
        <v>4487.51</v>
      </c>
      <c r="V20" s="1">
        <v>4487.51</v>
      </c>
      <c r="W20" s="1">
        <v>5122.2793999999994</v>
      </c>
      <c r="X20" s="1">
        <v>5122.2793999999994</v>
      </c>
      <c r="Y20" s="1">
        <v>0.62599999999999989</v>
      </c>
      <c r="Z20" s="1">
        <v>0.62599999999999989</v>
      </c>
      <c r="AA20" s="1">
        <v>638.83700000000022</v>
      </c>
      <c r="AB20" s="1">
        <v>638.8370000000001</v>
      </c>
      <c r="AC20" s="1">
        <v>3.4</v>
      </c>
      <c r="AD20" s="1">
        <v>3.1E-2</v>
      </c>
      <c r="AE20" s="1">
        <v>3.09E-2</v>
      </c>
      <c r="AF20" s="1">
        <v>5.5</v>
      </c>
      <c r="AG20" s="1">
        <v>5.5E-2</v>
      </c>
      <c r="AH20" s="1">
        <v>5.5E-2</v>
      </c>
      <c r="AI20" s="1">
        <v>290</v>
      </c>
      <c r="AJ20" s="1" t="s">
        <v>43</v>
      </c>
      <c r="AK20" s="1" t="s">
        <v>75</v>
      </c>
    </row>
    <row r="21" spans="1:37" x14ac:dyDescent="0.3">
      <c r="A21" s="1" t="s">
        <v>37</v>
      </c>
      <c r="B21" s="1">
        <v>20240131</v>
      </c>
      <c r="C21" s="1">
        <v>51.0837</v>
      </c>
      <c r="D21" s="1">
        <v>10.2516</v>
      </c>
      <c r="E21" s="1">
        <v>7.2328000000000001</v>
      </c>
      <c r="F21" s="1">
        <v>16.11</v>
      </c>
      <c r="G21">
        <v>33.275370813559469</v>
      </c>
      <c r="H21" s="1">
        <v>33.196100000000001</v>
      </c>
      <c r="I21" s="1">
        <v>35.438529494340322</v>
      </c>
      <c r="J21" s="1">
        <v>36.301000000000002</v>
      </c>
      <c r="K21" s="1">
        <v>1112.631985194515</v>
      </c>
      <c r="L21" s="1">
        <v>1108.3019999999999</v>
      </c>
      <c r="M21" s="1">
        <v>3.257323540762795</v>
      </c>
      <c r="N21" s="1">
        <v>3.2749999999999999</v>
      </c>
      <c r="O21" s="1">
        <v>14.89456512462308</v>
      </c>
      <c r="P21" s="1">
        <v>14.71223333333333</v>
      </c>
      <c r="Q21" s="1">
        <v>22.21949629120704</v>
      </c>
      <c r="R21" s="1">
        <v>24.91266666666667</v>
      </c>
      <c r="S21" s="1">
        <v>32.430942678897843</v>
      </c>
      <c r="T21" s="1">
        <v>32.004166666666663</v>
      </c>
      <c r="U21" s="1">
        <v>4267.0102217688554</v>
      </c>
      <c r="V21" s="1">
        <v>4216.6459000000004</v>
      </c>
      <c r="W21" s="1">
        <v>4880.4428048716863</v>
      </c>
      <c r="X21" s="1">
        <v>4865.2120999999997</v>
      </c>
      <c r="Y21" s="1">
        <v>0.63974557553087263</v>
      </c>
      <c r="Z21" s="1">
        <v>0.65033333333333321</v>
      </c>
      <c r="AA21" s="1">
        <v>657.6227250785654</v>
      </c>
      <c r="AB21" s="1">
        <v>652.60266666666678</v>
      </c>
      <c r="AC21" s="1">
        <v>3.1</v>
      </c>
      <c r="AD21" s="1">
        <v>3.2000000000000001E-2</v>
      </c>
      <c r="AE21" s="1">
        <v>3.2300000000000002E-2</v>
      </c>
      <c r="AF21" s="1">
        <v>5.5</v>
      </c>
      <c r="AG21" s="1">
        <v>5.5E-2</v>
      </c>
      <c r="AH21" s="1">
        <v>5.5E-2</v>
      </c>
      <c r="AI21" s="1">
        <v>256</v>
      </c>
      <c r="AJ21" s="1" t="s">
        <v>48</v>
      </c>
      <c r="AK21" s="1" t="s">
        <v>76</v>
      </c>
    </row>
    <row r="22" spans="1:37" x14ac:dyDescent="0.3">
      <c r="A22" s="1" t="s">
        <v>37</v>
      </c>
      <c r="B22" s="1">
        <v>20240229</v>
      </c>
      <c r="C22" s="1">
        <v>52.8277</v>
      </c>
      <c r="D22" s="1">
        <v>10.601599999999999</v>
      </c>
      <c r="E22" s="1">
        <v>7.4797000000000002</v>
      </c>
      <c r="F22" s="1">
        <v>16.66</v>
      </c>
      <c r="G22">
        <v>31.243329239877689</v>
      </c>
      <c r="H22" s="1">
        <v>31.533000000000001</v>
      </c>
      <c r="I22" s="1">
        <v>30.33640569402564</v>
      </c>
      <c r="J22" s="1">
        <v>31.600999999999999</v>
      </c>
      <c r="K22" s="1">
        <v>1136.0095939878961</v>
      </c>
      <c r="L22" s="1">
        <v>1132.1510000000001</v>
      </c>
      <c r="M22" s="1">
        <v>3.201777989829977</v>
      </c>
      <c r="N22" s="1">
        <v>3.2189999999999999</v>
      </c>
      <c r="O22" s="1">
        <v>13.884046162067261</v>
      </c>
      <c r="P22" s="1">
        <v>13.832266666666669</v>
      </c>
      <c r="Q22" s="1">
        <v>17.486167589093728</v>
      </c>
      <c r="R22" s="1">
        <v>21.310333333333329</v>
      </c>
      <c r="S22" s="1">
        <v>30.75224809174226</v>
      </c>
      <c r="T22" s="1">
        <v>30.55053333333333</v>
      </c>
      <c r="U22" s="1">
        <v>4043.3458948271982</v>
      </c>
      <c r="V22" s="1">
        <v>3945.7818000000002</v>
      </c>
      <c r="W22" s="1">
        <v>4681.4053790437292</v>
      </c>
      <c r="X22" s="1">
        <v>4608.1448</v>
      </c>
      <c r="Y22" s="1">
        <v>0.66879036095525268</v>
      </c>
      <c r="Z22" s="1">
        <v>0.67466666666666664</v>
      </c>
      <c r="AA22" s="1">
        <v>673.05686654706926</v>
      </c>
      <c r="AB22" s="1">
        <v>666.36833333333334</v>
      </c>
      <c r="AC22" s="1">
        <v>3.2</v>
      </c>
      <c r="AD22" s="1">
        <v>2.9000000000000001E-2</v>
      </c>
      <c r="AE22" s="1">
        <v>2.9499999999999998E-2</v>
      </c>
      <c r="AF22" s="1">
        <v>5.5</v>
      </c>
      <c r="AG22" s="1">
        <v>5.5E-2</v>
      </c>
      <c r="AH22" s="1">
        <v>5.5E-2</v>
      </c>
      <c r="AI22" s="1">
        <v>236</v>
      </c>
      <c r="AJ22" s="1" t="s">
        <v>43</v>
      </c>
      <c r="AK22" s="1" t="s">
        <v>77</v>
      </c>
    </row>
    <row r="23" spans="1:37" x14ac:dyDescent="0.3">
      <c r="A23" s="1" t="s">
        <v>37</v>
      </c>
      <c r="B23" s="1">
        <v>20240329</v>
      </c>
      <c r="C23" s="1">
        <v>46.612699999999997</v>
      </c>
      <c r="D23" s="1">
        <v>9.3543000000000003</v>
      </c>
      <c r="E23" s="1">
        <v>6.5997000000000003</v>
      </c>
      <c r="F23" s="1">
        <v>14.7</v>
      </c>
      <c r="G23">
        <v>29.869900000000001</v>
      </c>
      <c r="H23" s="1">
        <v>29.869900000000001</v>
      </c>
      <c r="I23" s="1">
        <v>26.901</v>
      </c>
      <c r="J23" s="1">
        <v>26.901</v>
      </c>
      <c r="K23" s="1">
        <v>1156</v>
      </c>
      <c r="L23" s="1">
        <v>1156</v>
      </c>
      <c r="M23" s="1">
        <v>3.1629999999999998</v>
      </c>
      <c r="N23" s="1">
        <v>3.1629999999999998</v>
      </c>
      <c r="O23" s="1">
        <v>12.952299999999999</v>
      </c>
      <c r="P23" s="1">
        <v>12.952299999999999</v>
      </c>
      <c r="Q23" s="1">
        <v>17.707999999999998</v>
      </c>
      <c r="R23" s="1">
        <v>17.707999999999998</v>
      </c>
      <c r="S23" s="1">
        <v>29.096900000000009</v>
      </c>
      <c r="T23" s="1">
        <v>29.096900000000002</v>
      </c>
      <c r="U23" s="1">
        <v>3674.9177</v>
      </c>
      <c r="V23" s="1">
        <v>3674.9177</v>
      </c>
      <c r="W23" s="1">
        <v>4351.0775000000003</v>
      </c>
      <c r="X23" s="1">
        <v>4351.0775000000003</v>
      </c>
      <c r="Y23" s="1">
        <v>0.69900000000000007</v>
      </c>
      <c r="Z23" s="1">
        <v>0.69899999999999995</v>
      </c>
      <c r="AA23" s="1">
        <v>680.13400000000001</v>
      </c>
      <c r="AB23" s="1">
        <v>680.13400000000001</v>
      </c>
      <c r="AC23" s="1">
        <v>3.5</v>
      </c>
      <c r="AD23" s="1">
        <v>3.1E-2</v>
      </c>
      <c r="AE23" s="1">
        <v>3.1099999999999999E-2</v>
      </c>
      <c r="AF23" s="1">
        <v>5.5</v>
      </c>
      <c r="AG23" s="1">
        <v>5.5E-2</v>
      </c>
      <c r="AH23" s="1">
        <v>5.5E-2</v>
      </c>
      <c r="AI23" s="1">
        <v>310</v>
      </c>
      <c r="AJ23" s="1" t="s">
        <v>42</v>
      </c>
      <c r="AK23" s="1" t="s">
        <v>78</v>
      </c>
    </row>
    <row r="24" spans="1:37" x14ac:dyDescent="0.3">
      <c r="A24" s="1" t="s">
        <v>37</v>
      </c>
      <c r="B24" s="1">
        <v>20240430</v>
      </c>
      <c r="C24" s="1">
        <v>45.058900000000001</v>
      </c>
      <c r="D24" s="1">
        <v>9.0425000000000004</v>
      </c>
      <c r="E24" s="1">
        <v>6.3796999999999997</v>
      </c>
      <c r="F24" s="1">
        <v>14.21</v>
      </c>
      <c r="G24">
        <v>29.93518435224415</v>
      </c>
      <c r="H24" s="1">
        <v>30.5626</v>
      </c>
      <c r="I24" s="1">
        <v>26.02520953301865</v>
      </c>
      <c r="J24" s="1">
        <v>27.998999999999999</v>
      </c>
      <c r="K24" s="1">
        <v>1173.494942126714</v>
      </c>
      <c r="L24" s="1">
        <v>1169.2280000000001</v>
      </c>
      <c r="M24" s="1">
        <v>3.1386025972153311</v>
      </c>
      <c r="N24" s="1">
        <v>3.1440000000000001</v>
      </c>
      <c r="O24" s="1">
        <v>12.39838103744418</v>
      </c>
      <c r="P24" s="1">
        <v>12.6502</v>
      </c>
      <c r="Q24" s="1">
        <v>24.952412038627429</v>
      </c>
      <c r="R24" s="1">
        <v>27.22</v>
      </c>
      <c r="S24" s="1">
        <v>27.987779486918509</v>
      </c>
      <c r="T24" s="1">
        <v>28.368133333333329</v>
      </c>
      <c r="U24" s="1">
        <v>3071.5991026879742</v>
      </c>
      <c r="V24" s="1">
        <v>3008.2190999999998</v>
      </c>
      <c r="W24" s="1">
        <v>3773.2627926905611</v>
      </c>
      <c r="X24" s="1">
        <v>3698.9092000000001</v>
      </c>
      <c r="Y24" s="1">
        <v>0.72093367431326905</v>
      </c>
      <c r="Z24" s="1">
        <v>0.72666666666666668</v>
      </c>
      <c r="AA24" s="1">
        <v>675.72825257961506</v>
      </c>
      <c r="AB24" s="1">
        <v>670.72833333333335</v>
      </c>
      <c r="AC24" s="1">
        <v>3.4</v>
      </c>
      <c r="AD24" s="1">
        <v>3.4000000000000002E-2</v>
      </c>
      <c r="AE24" s="1">
        <v>3.4200000000000001E-2</v>
      </c>
      <c r="AF24" s="1">
        <v>5.5</v>
      </c>
      <c r="AG24" s="1">
        <v>5.5E-2</v>
      </c>
      <c r="AH24" s="1">
        <v>5.5E-2</v>
      </c>
      <c r="AI24" s="1">
        <v>108</v>
      </c>
      <c r="AJ24" s="1" t="s">
        <v>79</v>
      </c>
      <c r="AK24" s="1" t="s">
        <v>80</v>
      </c>
    </row>
    <row r="25" spans="1:37" x14ac:dyDescent="0.3">
      <c r="A25" s="1" t="s">
        <v>37</v>
      </c>
      <c r="B25" s="1">
        <v>20240531</v>
      </c>
      <c r="C25" s="1">
        <v>29.013999999999999</v>
      </c>
      <c r="D25" s="1">
        <v>5.8226000000000004</v>
      </c>
      <c r="E25" s="1">
        <v>4.1079999999999997</v>
      </c>
      <c r="F25" s="1">
        <v>9.15</v>
      </c>
      <c r="G25">
        <v>30.912389704017539</v>
      </c>
      <c r="H25" s="1">
        <v>31.255299999999998</v>
      </c>
      <c r="I25" s="1">
        <v>27.348034293081589</v>
      </c>
      <c r="J25" s="1">
        <v>29.097000000000001</v>
      </c>
      <c r="K25" s="1">
        <v>1187.2964203680381</v>
      </c>
      <c r="L25" s="1">
        <v>1182.4559999999999</v>
      </c>
      <c r="M25" s="1">
        <v>3.1221042999944859</v>
      </c>
      <c r="N25" s="1">
        <v>3.125</v>
      </c>
      <c r="O25" s="1">
        <v>12.150933718844231</v>
      </c>
      <c r="P25" s="1">
        <v>12.348100000000001</v>
      </c>
      <c r="Q25" s="1">
        <v>35.984551853124167</v>
      </c>
      <c r="R25" s="1">
        <v>36.731999999999999</v>
      </c>
      <c r="S25" s="1">
        <v>27.33855692286814</v>
      </c>
      <c r="T25" s="1">
        <v>27.639366666666671</v>
      </c>
      <c r="U25" s="1">
        <v>2349.154706594823</v>
      </c>
      <c r="V25" s="1">
        <v>2341.5205000000001</v>
      </c>
      <c r="W25" s="1">
        <v>3063.3378719302259</v>
      </c>
      <c r="X25" s="1">
        <v>3046.7408999999998</v>
      </c>
      <c r="Y25" s="1">
        <v>0.74392471722839304</v>
      </c>
      <c r="Z25" s="1">
        <v>0.7543333333333333</v>
      </c>
      <c r="AA25" s="1">
        <v>664.23195761924762</v>
      </c>
      <c r="AB25" s="1">
        <v>661.32266666666669</v>
      </c>
      <c r="AC25" s="1">
        <v>3.3</v>
      </c>
      <c r="AD25" s="1">
        <v>3.4000000000000002E-2</v>
      </c>
      <c r="AE25" s="1">
        <v>3.4000000000000002E-2</v>
      </c>
      <c r="AF25" s="1">
        <v>5.5</v>
      </c>
      <c r="AG25" s="1">
        <v>5.5E-2</v>
      </c>
      <c r="AH25" s="1">
        <v>5.5E-2</v>
      </c>
      <c r="AI25" s="1">
        <v>216</v>
      </c>
      <c r="AJ25" s="1" t="s">
        <v>39</v>
      </c>
      <c r="AK25" s="1" t="s">
        <v>81</v>
      </c>
    </row>
    <row r="26" spans="1:37" x14ac:dyDescent="0.3">
      <c r="A26" s="1" t="s">
        <v>37</v>
      </c>
      <c r="B26" s="1">
        <v>20240628</v>
      </c>
      <c r="C26" s="1">
        <v>25.652799999999999</v>
      </c>
      <c r="D26" s="1">
        <v>5.1481000000000003</v>
      </c>
      <c r="E26" s="1">
        <v>3.6320999999999999</v>
      </c>
      <c r="F26" s="1">
        <v>8.09</v>
      </c>
      <c r="G26">
        <v>31.948</v>
      </c>
      <c r="H26" s="1">
        <v>31.948</v>
      </c>
      <c r="I26" s="1">
        <v>30.195</v>
      </c>
      <c r="J26" s="1">
        <v>30.195</v>
      </c>
      <c r="K26" s="1">
        <v>1195.684</v>
      </c>
      <c r="L26" s="1">
        <v>1195.684</v>
      </c>
      <c r="M26" s="1">
        <v>3.1059999999999999</v>
      </c>
      <c r="N26" s="1">
        <v>3.1059999999999999</v>
      </c>
      <c r="O26" s="1">
        <v>12.045999999999999</v>
      </c>
      <c r="P26" s="1">
        <v>12.045999999999999</v>
      </c>
      <c r="Q26" s="1">
        <v>46.244</v>
      </c>
      <c r="R26" s="1">
        <v>46.244</v>
      </c>
      <c r="S26" s="1">
        <v>26.910599999999999</v>
      </c>
      <c r="T26" s="1">
        <v>26.910599999999999</v>
      </c>
      <c r="U26" s="1">
        <v>1674.8218999999999</v>
      </c>
      <c r="V26" s="1">
        <v>1674.8218999999999</v>
      </c>
      <c r="W26" s="1">
        <v>2394.5726</v>
      </c>
      <c r="X26" s="1">
        <v>2394.5726</v>
      </c>
      <c r="Y26" s="1">
        <v>0.78200000000000014</v>
      </c>
      <c r="Z26" s="1">
        <v>0.78200000000000003</v>
      </c>
      <c r="AA26" s="1">
        <v>651.91700000000014</v>
      </c>
      <c r="AB26" s="1">
        <v>651.91700000000003</v>
      </c>
      <c r="AC26" s="1">
        <v>3</v>
      </c>
      <c r="AD26" s="1">
        <v>3.4000000000000002E-2</v>
      </c>
      <c r="AE26" s="1">
        <v>3.3799999999999997E-2</v>
      </c>
      <c r="AF26" s="1">
        <v>5.5</v>
      </c>
      <c r="AG26" s="1">
        <v>5.5E-2</v>
      </c>
      <c r="AH26" s="1">
        <v>5.5E-2</v>
      </c>
      <c r="AI26" s="1">
        <v>118</v>
      </c>
      <c r="AJ26" s="1" t="s">
        <v>47</v>
      </c>
      <c r="AK26" s="1" t="s">
        <v>82</v>
      </c>
    </row>
    <row r="27" spans="1:37" x14ac:dyDescent="0.3">
      <c r="A27" s="1" t="s">
        <v>37</v>
      </c>
      <c r="B27" s="1">
        <v>20240731</v>
      </c>
      <c r="C27" s="1">
        <v>24.352699999999999</v>
      </c>
      <c r="D27" s="1">
        <v>4.8872</v>
      </c>
      <c r="E27" s="1">
        <v>3.448</v>
      </c>
      <c r="F27" s="1">
        <v>7.68</v>
      </c>
      <c r="G27">
        <v>32.188499184871347</v>
      </c>
      <c r="H27" s="1">
        <v>30.255366666666671</v>
      </c>
      <c r="I27" s="1">
        <v>33.891632373585082</v>
      </c>
      <c r="J27" s="1">
        <v>33.841999999999999</v>
      </c>
      <c r="K27" s="1">
        <v>1196.9372462986289</v>
      </c>
      <c r="L27" s="1">
        <v>1187.509</v>
      </c>
      <c r="M27" s="1">
        <v>3.0827845888944032</v>
      </c>
      <c r="N27" s="1">
        <v>3.065666666666667</v>
      </c>
      <c r="O27" s="1">
        <v>11.919621836711331</v>
      </c>
      <c r="P27" s="1">
        <v>11.67956666666667</v>
      </c>
      <c r="Q27" s="1">
        <v>51.170337035764732</v>
      </c>
      <c r="R27" s="1">
        <v>39.756666666666668</v>
      </c>
      <c r="S27" s="1">
        <v>26.465276410465201</v>
      </c>
      <c r="T27" s="1">
        <v>26.129733333333331</v>
      </c>
      <c r="U27" s="1">
        <v>1215.838071182955</v>
      </c>
      <c r="V27" s="1">
        <v>1654.170233333333</v>
      </c>
      <c r="W27" s="1">
        <v>1940.236839180885</v>
      </c>
      <c r="X27" s="1">
        <v>2385.692833333334</v>
      </c>
      <c r="Y27" s="1">
        <v>0.84918639388271822</v>
      </c>
      <c r="Z27" s="1">
        <v>0.89700000000000002</v>
      </c>
      <c r="AA27" s="1">
        <v>645.05526460297472</v>
      </c>
      <c r="AB27" s="1">
        <v>658.87099999999998</v>
      </c>
      <c r="AC27" s="1">
        <v>2.9</v>
      </c>
      <c r="AD27" s="1">
        <v>3.1E-2</v>
      </c>
      <c r="AE27" s="1">
        <v>3.1E-2</v>
      </c>
      <c r="AF27" s="1">
        <v>5.5</v>
      </c>
      <c r="AG27" s="1">
        <v>5.5E-2</v>
      </c>
      <c r="AH27" s="1">
        <v>5.5E-2</v>
      </c>
      <c r="AI27" s="1">
        <v>144</v>
      </c>
      <c r="AJ27" s="1" t="s">
        <v>44</v>
      </c>
      <c r="AK27" s="1" t="s">
        <v>83</v>
      </c>
    </row>
    <row r="28" spans="1:37" x14ac:dyDescent="0.3">
      <c r="A28" s="1" t="s">
        <v>37</v>
      </c>
      <c r="B28" s="1">
        <v>20240830</v>
      </c>
      <c r="C28" s="1">
        <v>28.284700000000001</v>
      </c>
      <c r="D28" s="1">
        <v>5.6761999999999997</v>
      </c>
      <c r="E28" s="1">
        <v>4.0046999999999997</v>
      </c>
      <c r="F28" s="1">
        <v>8.92</v>
      </c>
      <c r="G28">
        <v>30.7803712033114</v>
      </c>
      <c r="H28" s="1">
        <v>28.56273333333333</v>
      </c>
      <c r="I28" s="1">
        <v>37.763457133648018</v>
      </c>
      <c r="J28" s="1">
        <v>37.488999999999997</v>
      </c>
      <c r="K28" s="1">
        <v>1189.3357245399529</v>
      </c>
      <c r="L28" s="1">
        <v>1179.3340000000001</v>
      </c>
      <c r="M28" s="1">
        <v>3.0449529583402248</v>
      </c>
      <c r="N28" s="1">
        <v>3.0253333333333332</v>
      </c>
      <c r="O28" s="1">
        <v>11.60784118477804</v>
      </c>
      <c r="P28" s="1">
        <v>11.313133333333329</v>
      </c>
      <c r="Q28" s="1">
        <v>46.203143516928122</v>
      </c>
      <c r="R28" s="1">
        <v>33.269333333333343</v>
      </c>
      <c r="S28" s="1">
        <v>25.763953846414829</v>
      </c>
      <c r="T28" s="1">
        <v>25.34886666666667</v>
      </c>
      <c r="U28" s="1">
        <v>1139.4406084231371</v>
      </c>
      <c r="V28" s="1">
        <v>1633.5185666666671</v>
      </c>
      <c r="W28" s="1">
        <v>1873.600451753884</v>
      </c>
      <c r="X28" s="1">
        <v>2376.8130666666671</v>
      </c>
      <c r="Y28" s="1">
        <v>0.95951077013117536</v>
      </c>
      <c r="Z28" s="1">
        <v>1.012</v>
      </c>
      <c r="AA28" s="1">
        <v>649.91863630927378</v>
      </c>
      <c r="AB28" s="1">
        <v>665.82500000000005</v>
      </c>
      <c r="AC28" s="1">
        <v>2.5</v>
      </c>
      <c r="AD28" s="1">
        <v>0.03</v>
      </c>
      <c r="AE28" s="1">
        <v>2.9700000000000001E-2</v>
      </c>
      <c r="AF28" s="1">
        <v>5.5</v>
      </c>
      <c r="AG28" s="1">
        <v>5.5E-2</v>
      </c>
      <c r="AH28" s="1">
        <v>5.5E-2</v>
      </c>
      <c r="AI28" s="1">
        <v>78</v>
      </c>
      <c r="AJ28" s="1" t="s">
        <v>48</v>
      </c>
      <c r="AK28" s="1" t="s">
        <v>84</v>
      </c>
    </row>
    <row r="29" spans="1:37" x14ac:dyDescent="0.3">
      <c r="A29" s="1" t="s">
        <v>37</v>
      </c>
      <c r="B29" s="1">
        <v>20240930</v>
      </c>
      <c r="C29" s="1">
        <v>25.3674</v>
      </c>
      <c r="D29" s="1">
        <v>5.0907999999999998</v>
      </c>
      <c r="E29" s="1">
        <v>3.5916999999999999</v>
      </c>
      <c r="F29" s="1">
        <v>8</v>
      </c>
      <c r="G29">
        <v>26.870100000000001</v>
      </c>
      <c r="H29" s="1">
        <v>26.870100000000001</v>
      </c>
      <c r="I29" s="1">
        <v>41.136000000000003</v>
      </c>
      <c r="J29" s="1">
        <v>41.136000000000003</v>
      </c>
      <c r="K29" s="1">
        <v>1171.1590000000001</v>
      </c>
      <c r="L29" s="1">
        <v>1171.1590000000001</v>
      </c>
      <c r="M29" s="1">
        <v>2.9849999999999999</v>
      </c>
      <c r="N29" s="1">
        <v>2.9849999999999999</v>
      </c>
      <c r="O29" s="1">
        <v>10.9467</v>
      </c>
      <c r="P29" s="1">
        <v>10.9467</v>
      </c>
      <c r="Q29" s="1">
        <v>26.782</v>
      </c>
      <c r="R29" s="1">
        <v>26.782</v>
      </c>
      <c r="S29" s="1">
        <v>24.568000000000001</v>
      </c>
      <c r="T29" s="1">
        <v>24.568000000000001</v>
      </c>
      <c r="U29" s="1">
        <v>1612.8669</v>
      </c>
      <c r="V29" s="1">
        <v>1612.8669</v>
      </c>
      <c r="W29" s="1">
        <v>2367.9333000000001</v>
      </c>
      <c r="X29" s="1">
        <v>2367.9333000000001</v>
      </c>
      <c r="Y29" s="1">
        <v>1.127</v>
      </c>
      <c r="Z29" s="1">
        <v>1.127</v>
      </c>
      <c r="AA29" s="1">
        <v>672.779</v>
      </c>
      <c r="AB29" s="1">
        <v>672.779</v>
      </c>
      <c r="AC29" s="1">
        <v>2.4</v>
      </c>
      <c r="AD29" s="1">
        <v>2.5000000000000001E-2</v>
      </c>
      <c r="AE29" s="1">
        <v>2.5499999999999998E-2</v>
      </c>
      <c r="AF29" s="1">
        <v>5</v>
      </c>
      <c r="AG29" s="1">
        <v>5.2499999999999998E-2</v>
      </c>
      <c r="AH29" s="1">
        <v>5.2299999999999999E-2</v>
      </c>
      <c r="AI29" s="1">
        <v>223</v>
      </c>
      <c r="AJ29" s="1" t="s">
        <v>50</v>
      </c>
      <c r="AK29" s="1" t="s">
        <v>85</v>
      </c>
    </row>
    <row r="35" spans="5:28" x14ac:dyDescent="0.3">
      <c r="E35" s="4"/>
      <c r="F35" s="4"/>
      <c r="G35" s="4"/>
      <c r="H35" s="4"/>
      <c r="I35" s="4"/>
      <c r="J35" s="4"/>
      <c r="K35" s="4"/>
      <c r="L35" s="4"/>
      <c r="N35" s="4"/>
      <c r="O35" s="4"/>
      <c r="P35" s="4"/>
      <c r="Q35" s="4"/>
      <c r="R35" s="4"/>
      <c r="S35" s="4"/>
      <c r="T35" s="4"/>
      <c r="V35" s="4"/>
      <c r="W35" s="4"/>
      <c r="X35" s="4"/>
      <c r="Y35" s="4"/>
      <c r="Z35" s="4"/>
      <c r="AA35" s="4"/>
    </row>
    <row r="36" spans="5:28" x14ac:dyDescent="0.3">
      <c r="L36" s="4"/>
      <c r="M36" s="4"/>
      <c r="N36" s="4"/>
      <c r="Z36" s="4"/>
      <c r="AA36" s="4"/>
      <c r="AB3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ABD0-FB70-49DA-81D2-A9E381B0CD9D}">
  <dimension ref="A1:AK36"/>
  <sheetViews>
    <sheetView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H31" sqref="H31"/>
    </sheetView>
  </sheetViews>
  <sheetFormatPr baseColWidth="10" defaultRowHeight="14.4" x14ac:dyDescent="0.3"/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1" t="s">
        <v>37</v>
      </c>
      <c r="B2" s="1">
        <v>20220630</v>
      </c>
      <c r="C2" s="1">
        <v>106.00409999999999</v>
      </c>
      <c r="D2" s="1">
        <v>27.627400000000002</v>
      </c>
      <c r="E2" s="1">
        <v>30.873899999999999</v>
      </c>
      <c r="F2" s="1">
        <v>26.25</v>
      </c>
      <c r="G2">
        <v>34.76</v>
      </c>
      <c r="H2" s="1">
        <v>34.76</v>
      </c>
      <c r="I2" s="1">
        <v>35.091999999999999</v>
      </c>
      <c r="J2" s="1">
        <v>35.091999999999999</v>
      </c>
      <c r="K2" s="1">
        <v>710.70399999999995</v>
      </c>
      <c r="L2" s="1">
        <v>710.70399999999995</v>
      </c>
      <c r="M2" s="1">
        <v>3.3759999999999999</v>
      </c>
      <c r="N2" s="1">
        <v>3.3759999999999999</v>
      </c>
      <c r="O2" s="1">
        <v>16.624400000000001</v>
      </c>
      <c r="P2" s="1">
        <v>16.624400000000001</v>
      </c>
      <c r="Q2" s="1">
        <v>30.571999999999999</v>
      </c>
      <c r="R2" s="1">
        <v>30.571999999999999</v>
      </c>
      <c r="S2" s="1">
        <v>32.58</v>
      </c>
      <c r="T2" s="1">
        <v>32.58</v>
      </c>
      <c r="U2" s="1">
        <v>3645.5967999999989</v>
      </c>
      <c r="V2" s="1">
        <v>3645.5967999999998</v>
      </c>
      <c r="W2" s="1">
        <v>7744.4965999999986</v>
      </c>
      <c r="X2" s="1">
        <v>7744.4966000000004</v>
      </c>
      <c r="Y2" s="1">
        <v>15.204000000000001</v>
      </c>
      <c r="Z2" s="1">
        <v>15.204000000000001</v>
      </c>
      <c r="AA2" s="1">
        <v>455.05</v>
      </c>
      <c r="AB2" s="1">
        <v>455.05</v>
      </c>
      <c r="AC2" s="1">
        <v>9.1</v>
      </c>
      <c r="AD2" s="1">
        <v>8.3000000000000004E-2</v>
      </c>
      <c r="AE2" s="1">
        <v>8.2600000000000007E-2</v>
      </c>
      <c r="AF2" s="1">
        <v>1.75</v>
      </c>
      <c r="AG2" s="1">
        <v>1.4999999999999999E-2</v>
      </c>
      <c r="AH2" s="1">
        <v>1.5900000000000001E-2</v>
      </c>
      <c r="AI2" s="1">
        <v>420</v>
      </c>
      <c r="AJ2" s="1" t="s">
        <v>51</v>
      </c>
      <c r="AK2" s="1" t="s">
        <v>52</v>
      </c>
    </row>
    <row r="3" spans="1:37" x14ac:dyDescent="0.3">
      <c r="A3" s="1" t="s">
        <v>37</v>
      </c>
      <c r="B3" s="1">
        <v>20220729</v>
      </c>
      <c r="C3" s="1">
        <v>112.18259999999999</v>
      </c>
      <c r="D3" s="1">
        <v>29.2377</v>
      </c>
      <c r="E3" s="1">
        <v>32.673400000000001</v>
      </c>
      <c r="F3" s="1">
        <v>27.78</v>
      </c>
      <c r="G3">
        <v>36.351441668143423</v>
      </c>
      <c r="H3" s="1">
        <v>35.071966666666668</v>
      </c>
      <c r="I3" s="1">
        <v>37.263394898824501</v>
      </c>
      <c r="J3" s="1">
        <v>35.805</v>
      </c>
      <c r="K3" s="1">
        <v>749.71034925680794</v>
      </c>
      <c r="L3" s="1">
        <v>751.99599999999998</v>
      </c>
      <c r="M3" s="1">
        <v>3.4017717241473799</v>
      </c>
      <c r="N3" s="1">
        <v>3.4003333333333332</v>
      </c>
      <c r="O3" s="1">
        <v>17.00700238643747</v>
      </c>
      <c r="P3" s="1">
        <v>16.656933333333331</v>
      </c>
      <c r="Q3" s="1">
        <v>32.759417123318741</v>
      </c>
      <c r="R3" s="1">
        <v>31.202000000000002</v>
      </c>
      <c r="S3" s="1">
        <v>34.16306869277571</v>
      </c>
      <c r="T3" s="1">
        <v>33.16363333333333</v>
      </c>
      <c r="U3" s="1">
        <v>4350.4581817282424</v>
      </c>
      <c r="V3" s="1">
        <v>4273.5527999999986</v>
      </c>
      <c r="W3" s="1">
        <v>7187.1241956841022</v>
      </c>
      <c r="X3" s="1">
        <v>7180.9922666666671</v>
      </c>
      <c r="Y3" s="1">
        <v>17.249861190050989</v>
      </c>
      <c r="Z3" s="1">
        <v>15.27166666666667</v>
      </c>
      <c r="AA3" s="1">
        <v>490.76982534815011</v>
      </c>
      <c r="AB3" s="1">
        <v>484.48766666666671</v>
      </c>
      <c r="AC3" s="1">
        <v>8.5</v>
      </c>
      <c r="AD3" s="1">
        <v>8.7999999999999995E-2</v>
      </c>
      <c r="AE3" s="1">
        <v>8.7300000000000003E-2</v>
      </c>
      <c r="AF3" s="1">
        <v>2.5</v>
      </c>
      <c r="AG3" s="1">
        <v>2.5000000000000001E-2</v>
      </c>
      <c r="AH3" s="1">
        <v>2.5000000000000001E-2</v>
      </c>
      <c r="AI3" s="1">
        <v>690</v>
      </c>
      <c r="AJ3" s="1" t="s">
        <v>53</v>
      </c>
      <c r="AK3" s="1" t="s">
        <v>54</v>
      </c>
    </row>
    <row r="4" spans="1:37" x14ac:dyDescent="0.3">
      <c r="A4" s="1" t="s">
        <v>37</v>
      </c>
      <c r="B4" s="1">
        <v>20220831</v>
      </c>
      <c r="C4" s="1">
        <v>100.43129999999999</v>
      </c>
      <c r="D4" s="1">
        <v>26.175000000000001</v>
      </c>
      <c r="E4" s="1">
        <v>29.250800000000002</v>
      </c>
      <c r="F4" s="1">
        <v>24.87</v>
      </c>
      <c r="G4">
        <v>36.511153334514738</v>
      </c>
      <c r="H4" s="1">
        <v>35.383933333333331</v>
      </c>
      <c r="I4" s="1">
        <v>38.391658389017543</v>
      </c>
      <c r="J4" s="1">
        <v>36.518000000000001</v>
      </c>
      <c r="K4" s="1">
        <v>797.94018756784487</v>
      </c>
      <c r="L4" s="1">
        <v>793.28800000000001</v>
      </c>
      <c r="M4" s="1">
        <v>3.4313937463175339</v>
      </c>
      <c r="N4" s="1">
        <v>3.424666666666667</v>
      </c>
      <c r="O4" s="1">
        <v>17.000544131372202</v>
      </c>
      <c r="P4" s="1">
        <v>16.689466666666672</v>
      </c>
      <c r="Q4" s="1">
        <v>33.936084194012757</v>
      </c>
      <c r="R4" s="1">
        <v>31.832000000000001</v>
      </c>
      <c r="S4" s="1">
        <v>34.635352731998353</v>
      </c>
      <c r="T4" s="1">
        <v>33.747266666666668</v>
      </c>
      <c r="U4" s="1">
        <v>5087.1157921117974</v>
      </c>
      <c r="V4" s="1">
        <v>4901.5087999999996</v>
      </c>
      <c r="W4" s="1">
        <v>6638.4024497050887</v>
      </c>
      <c r="X4" s="1">
        <v>6617.4879333333329</v>
      </c>
      <c r="Y4" s="1">
        <v>17.536894971141649</v>
      </c>
      <c r="Z4" s="1">
        <v>15.339333333333331</v>
      </c>
      <c r="AA4" s="1">
        <v>526.86706427243621</v>
      </c>
      <c r="AB4" s="1">
        <v>513.92533333333336</v>
      </c>
      <c r="AC4" s="1">
        <v>8.3000000000000007</v>
      </c>
      <c r="AD4" s="1">
        <v>8.6999999999999994E-2</v>
      </c>
      <c r="AE4" s="1">
        <v>8.7300000000000003E-2</v>
      </c>
      <c r="AF4" s="1">
        <v>2.5</v>
      </c>
      <c r="AG4" s="1">
        <v>2.5000000000000001E-2</v>
      </c>
      <c r="AH4" s="1">
        <v>2.5000000000000001E-2</v>
      </c>
      <c r="AI4" s="1">
        <v>243</v>
      </c>
      <c r="AJ4" s="1" t="s">
        <v>55</v>
      </c>
      <c r="AK4" s="1" t="s">
        <v>40</v>
      </c>
    </row>
    <row r="5" spans="1:37" x14ac:dyDescent="0.3">
      <c r="A5" s="1" t="s">
        <v>37</v>
      </c>
      <c r="B5" s="1">
        <v>20220930</v>
      </c>
      <c r="C5" s="1">
        <v>82.864900000000006</v>
      </c>
      <c r="D5" s="1">
        <v>21.596800000000002</v>
      </c>
      <c r="E5" s="1">
        <v>24.134599999999999</v>
      </c>
      <c r="F5" s="1">
        <v>20.52</v>
      </c>
      <c r="G5">
        <v>35.695900000000002</v>
      </c>
      <c r="H5" s="1">
        <v>35.695900000000002</v>
      </c>
      <c r="I5" s="1">
        <v>37.231000000000002</v>
      </c>
      <c r="J5" s="1">
        <v>37.231000000000002</v>
      </c>
      <c r="K5" s="1">
        <v>834.57999999999993</v>
      </c>
      <c r="L5" s="1">
        <v>834.58</v>
      </c>
      <c r="M5" s="1">
        <v>3.4489999999999998</v>
      </c>
      <c r="N5" s="1">
        <v>3.4489999999999998</v>
      </c>
      <c r="O5" s="1">
        <v>16.722000000000001</v>
      </c>
      <c r="P5" s="1">
        <v>16.722000000000001</v>
      </c>
      <c r="Q5" s="1">
        <v>32.462000000000003</v>
      </c>
      <c r="R5" s="1">
        <v>32.462000000000003</v>
      </c>
      <c r="S5" s="1">
        <v>34.3309</v>
      </c>
      <c r="T5" s="1">
        <v>34.3309</v>
      </c>
      <c r="U5" s="1">
        <v>5529.4647999999997</v>
      </c>
      <c r="V5" s="1">
        <v>5529.4647999999997</v>
      </c>
      <c r="W5" s="1">
        <v>6053.9835999999996</v>
      </c>
      <c r="X5" s="1">
        <v>6053.9835999999996</v>
      </c>
      <c r="Y5" s="1">
        <v>15.407</v>
      </c>
      <c r="Z5" s="1">
        <v>15.407</v>
      </c>
      <c r="AA5" s="1">
        <v>543.36300000000006</v>
      </c>
      <c r="AB5" s="1">
        <v>543.36300000000006</v>
      </c>
      <c r="AC5" s="1">
        <v>8.1999999999999993</v>
      </c>
      <c r="AD5" s="1">
        <v>8.1000000000000003E-2</v>
      </c>
      <c r="AE5" s="1">
        <v>8.0600000000000005E-2</v>
      </c>
      <c r="AF5" s="1">
        <v>3.25</v>
      </c>
      <c r="AG5" s="1">
        <v>3.2500000000000001E-2</v>
      </c>
      <c r="AH5" s="1">
        <v>3.2500000000000001E-2</v>
      </c>
      <c r="AI5" s="1">
        <v>255</v>
      </c>
      <c r="AJ5" s="1" t="s">
        <v>56</v>
      </c>
      <c r="AK5" s="1" t="s">
        <v>57</v>
      </c>
    </row>
    <row r="6" spans="1:37" x14ac:dyDescent="0.3">
      <c r="A6" s="1" t="s">
        <v>37</v>
      </c>
      <c r="B6" s="1">
        <v>20221031</v>
      </c>
      <c r="C6" s="1">
        <v>90.052999999999997</v>
      </c>
      <c r="D6" s="1">
        <v>23.470199999999998</v>
      </c>
      <c r="E6" s="1">
        <v>26.228100000000001</v>
      </c>
      <c r="F6" s="1">
        <v>22.3</v>
      </c>
      <c r="G6">
        <v>34.362446665485272</v>
      </c>
      <c r="H6" s="1">
        <v>34.453266666666657</v>
      </c>
      <c r="I6" s="1">
        <v>33.237274118530088</v>
      </c>
      <c r="J6" s="1">
        <v>33.654666666666671</v>
      </c>
      <c r="K6" s="1">
        <v>844.72282226119751</v>
      </c>
      <c r="L6" s="1">
        <v>831.82033333333334</v>
      </c>
      <c r="M6" s="1">
        <v>3.4432405859059201</v>
      </c>
      <c r="N6" s="1">
        <v>3.430333333333333</v>
      </c>
      <c r="O6" s="1">
        <v>16.28834475751669</v>
      </c>
      <c r="P6" s="1">
        <v>16.289200000000001</v>
      </c>
      <c r="Q6" s="1">
        <v>27.57204378442432</v>
      </c>
      <c r="R6" s="1">
        <v>28.093666666666671</v>
      </c>
      <c r="S6" s="1">
        <v>33.583758379112773</v>
      </c>
      <c r="T6" s="1">
        <v>33.586466666666666</v>
      </c>
      <c r="U6" s="1">
        <v>5436.8793410130802</v>
      </c>
      <c r="V6" s="1">
        <v>5065.4911999999986</v>
      </c>
      <c r="W6" s="1">
        <v>5425.2762212503694</v>
      </c>
      <c r="X6" s="1">
        <v>5572.1516999999994</v>
      </c>
      <c r="Y6" s="1">
        <v>10.67434422444807</v>
      </c>
      <c r="Z6" s="1">
        <v>10.5</v>
      </c>
      <c r="AA6" s="1">
        <v>527.46155204413947</v>
      </c>
      <c r="AB6" s="1">
        <v>518.70433333333335</v>
      </c>
      <c r="AC6" s="1">
        <v>7.7</v>
      </c>
      <c r="AD6" s="1">
        <v>8.1000000000000003E-2</v>
      </c>
      <c r="AE6" s="1">
        <v>8.09E-2</v>
      </c>
      <c r="AF6" s="1">
        <v>3.25</v>
      </c>
      <c r="AG6" s="1">
        <v>3.2500000000000001E-2</v>
      </c>
      <c r="AH6" s="1">
        <v>3.2500000000000001E-2</v>
      </c>
      <c r="AI6" s="1">
        <v>361</v>
      </c>
      <c r="AJ6" s="1" t="s">
        <v>58</v>
      </c>
      <c r="AK6" s="1" t="s">
        <v>59</v>
      </c>
    </row>
    <row r="7" spans="1:37" x14ac:dyDescent="0.3">
      <c r="A7" s="1" t="s">
        <v>37</v>
      </c>
      <c r="B7" s="1">
        <v>20221130</v>
      </c>
      <c r="C7" s="1">
        <v>58.958500000000001</v>
      </c>
      <c r="D7" s="1">
        <v>15.366099999999999</v>
      </c>
      <c r="E7" s="1">
        <v>17.171800000000001</v>
      </c>
      <c r="F7" s="1">
        <v>14.6</v>
      </c>
      <c r="G7">
        <v>32.967558331856587</v>
      </c>
      <c r="H7" s="1">
        <v>33.210633333333327</v>
      </c>
      <c r="I7" s="1">
        <v>28.672914560715199</v>
      </c>
      <c r="J7" s="1">
        <v>30.07833333333333</v>
      </c>
      <c r="K7" s="1">
        <v>837.08789262349887</v>
      </c>
      <c r="L7" s="1">
        <v>829.06066666666675</v>
      </c>
      <c r="M7" s="1">
        <v>3.4208302736328631</v>
      </c>
      <c r="N7" s="1">
        <v>3.4116666666666671</v>
      </c>
      <c r="O7" s="1">
        <v>15.81655316911808</v>
      </c>
      <c r="P7" s="1">
        <v>15.856400000000001</v>
      </c>
      <c r="Q7" s="1">
        <v>22.0006166113332</v>
      </c>
      <c r="R7" s="1">
        <v>23.725333333333332</v>
      </c>
      <c r="S7" s="1">
        <v>32.727975751668737</v>
      </c>
      <c r="T7" s="1">
        <v>32.842033333333333</v>
      </c>
      <c r="U7" s="1">
        <v>4910.6494178548464</v>
      </c>
      <c r="V7" s="1">
        <v>4601.5176000000001</v>
      </c>
      <c r="W7" s="1">
        <v>4886.7142351157036</v>
      </c>
      <c r="X7" s="1">
        <v>5090.3198000000002</v>
      </c>
      <c r="Y7" s="1">
        <v>5.0421727566840078</v>
      </c>
      <c r="Z7" s="1">
        <v>5.593</v>
      </c>
      <c r="AA7" s="1">
        <v>495.09718506277892</v>
      </c>
      <c r="AB7" s="1">
        <v>494.0456666666667</v>
      </c>
      <c r="AC7" s="1">
        <v>7.1</v>
      </c>
      <c r="AD7" s="1">
        <v>7.9000000000000001E-2</v>
      </c>
      <c r="AE7" s="1">
        <v>7.9500000000000001E-2</v>
      </c>
      <c r="AF7" s="1">
        <v>4</v>
      </c>
      <c r="AG7" s="1">
        <v>0.04</v>
      </c>
      <c r="AH7" s="1">
        <v>3.9899999999999998E-2</v>
      </c>
      <c r="AI7" s="1">
        <v>258</v>
      </c>
      <c r="AJ7" s="1" t="s">
        <v>49</v>
      </c>
      <c r="AK7" s="1" t="s">
        <v>60</v>
      </c>
    </row>
    <row r="8" spans="1:37" x14ac:dyDescent="0.3">
      <c r="A8" s="1" t="s">
        <v>37</v>
      </c>
      <c r="B8" s="1">
        <v>20221230</v>
      </c>
      <c r="C8" s="1">
        <v>62.875599999999999</v>
      </c>
      <c r="D8" s="1">
        <v>16.387</v>
      </c>
      <c r="E8" s="1">
        <v>18.3126</v>
      </c>
      <c r="F8" s="1">
        <v>15.57</v>
      </c>
      <c r="G8">
        <v>31.968</v>
      </c>
      <c r="H8" s="1">
        <v>31.968</v>
      </c>
      <c r="I8" s="1">
        <v>26.501999999999999</v>
      </c>
      <c r="J8" s="1">
        <v>26.501999999999999</v>
      </c>
      <c r="K8" s="1">
        <v>826.30100000000016</v>
      </c>
      <c r="L8" s="1">
        <v>826.30100000000004</v>
      </c>
      <c r="M8" s="1">
        <v>3.3929999999999998</v>
      </c>
      <c r="N8" s="1">
        <v>3.3929999999999998</v>
      </c>
      <c r="O8" s="1">
        <v>15.4236</v>
      </c>
      <c r="P8" s="1">
        <v>15.4236</v>
      </c>
      <c r="Q8" s="1">
        <v>19.356999999999999</v>
      </c>
      <c r="R8" s="1">
        <v>19.356999999999999</v>
      </c>
      <c r="S8" s="1">
        <v>32.0976</v>
      </c>
      <c r="T8" s="1">
        <v>32.0976</v>
      </c>
      <c r="U8" s="1">
        <v>4137.5440000000008</v>
      </c>
      <c r="V8" s="1">
        <v>4137.5439999999999</v>
      </c>
      <c r="W8" s="1">
        <v>4608.4879000000001</v>
      </c>
      <c r="X8" s="1">
        <v>4608.4879000000001</v>
      </c>
      <c r="Y8" s="1">
        <v>0.68599999999999994</v>
      </c>
      <c r="Z8" s="1">
        <v>0.68600000000000005</v>
      </c>
      <c r="AA8" s="1">
        <v>469.387</v>
      </c>
      <c r="AB8" s="1">
        <v>469.387</v>
      </c>
      <c r="AC8" s="1">
        <v>6.5</v>
      </c>
      <c r="AD8" s="1">
        <v>7.2999999999999995E-2</v>
      </c>
      <c r="AE8" s="1">
        <v>7.2999999999999995E-2</v>
      </c>
      <c r="AF8" s="1">
        <v>4.5</v>
      </c>
      <c r="AG8" s="1">
        <v>4.4999999999999998E-2</v>
      </c>
      <c r="AH8" s="1">
        <v>4.4999999999999998E-2</v>
      </c>
      <c r="AI8" s="1">
        <v>136</v>
      </c>
      <c r="AJ8" s="1" t="s">
        <v>42</v>
      </c>
      <c r="AK8" s="1" t="s">
        <v>61</v>
      </c>
    </row>
    <row r="9" spans="1:37" x14ac:dyDescent="0.3">
      <c r="A9" s="1" t="s">
        <v>37</v>
      </c>
      <c r="B9" s="1">
        <v>20230131</v>
      </c>
      <c r="C9" s="1">
        <v>45.072000000000003</v>
      </c>
      <c r="D9" s="1">
        <v>12.272399999999999</v>
      </c>
      <c r="E9" s="1">
        <v>11.707100000000001</v>
      </c>
      <c r="F9" s="1">
        <v>16.59</v>
      </c>
      <c r="G9">
        <v>31.716134632878489</v>
      </c>
      <c r="H9" s="1">
        <v>32.342033333333333</v>
      </c>
      <c r="I9" s="1">
        <v>28.776323441869959</v>
      </c>
      <c r="J9" s="1">
        <v>30.78766666666667</v>
      </c>
      <c r="K9" s="1">
        <v>825.10069503173588</v>
      </c>
      <c r="L9" s="1">
        <v>840.97766666666666</v>
      </c>
      <c r="M9" s="1">
        <v>3.3683029692659741</v>
      </c>
      <c r="N9" s="1">
        <v>3.367666666666667</v>
      </c>
      <c r="O9" s="1">
        <v>15.19940006497726</v>
      </c>
      <c r="P9" s="1">
        <v>15.3347</v>
      </c>
      <c r="Q9" s="1">
        <v>22.152629961206191</v>
      </c>
      <c r="R9" s="1">
        <v>24.719333333333331</v>
      </c>
      <c r="S9" s="1">
        <v>31.94531260558804</v>
      </c>
      <c r="T9" s="1">
        <v>32.299233333333333</v>
      </c>
      <c r="U9" s="1">
        <v>3300.910439404624</v>
      </c>
      <c r="V9" s="1">
        <v>3462.456266666667</v>
      </c>
      <c r="W9" s="1">
        <v>4677.9412822773793</v>
      </c>
      <c r="X9" s="1">
        <v>4672.6180000000004</v>
      </c>
      <c r="Y9" s="1">
        <v>-0.8242010508062223</v>
      </c>
      <c r="Z9" s="1">
        <v>0.68366666666666676</v>
      </c>
      <c r="AA9" s="1">
        <v>468.0732257345519</v>
      </c>
      <c r="AB9" s="1">
        <v>485.66833333333341</v>
      </c>
      <c r="AC9" s="1">
        <v>6.4</v>
      </c>
      <c r="AD9" s="1">
        <v>6.5000000000000002E-2</v>
      </c>
      <c r="AE9" s="1">
        <v>6.4899999999999999E-2</v>
      </c>
      <c r="AF9" s="1">
        <v>4.5</v>
      </c>
      <c r="AG9" s="1">
        <v>4.4999999999999998E-2</v>
      </c>
      <c r="AH9" s="1">
        <v>4.4999999999999998E-2</v>
      </c>
      <c r="AI9" s="1">
        <v>482</v>
      </c>
      <c r="AJ9" s="1" t="s">
        <v>46</v>
      </c>
      <c r="AK9" s="1" t="s">
        <v>62</v>
      </c>
    </row>
    <row r="10" spans="1:37" x14ac:dyDescent="0.3">
      <c r="A10" s="1" t="s">
        <v>37</v>
      </c>
      <c r="B10" s="1">
        <v>20230228</v>
      </c>
      <c r="C10" s="1">
        <v>40.589199999999998</v>
      </c>
      <c r="D10" s="1">
        <v>11.0518</v>
      </c>
      <c r="E10" s="1">
        <v>10.5427</v>
      </c>
      <c r="F10" s="1">
        <v>14.94</v>
      </c>
      <c r="G10">
        <v>32.146717041762663</v>
      </c>
      <c r="H10" s="1">
        <v>32.716066666666663</v>
      </c>
      <c r="I10" s="1">
        <v>33.898535219973539</v>
      </c>
      <c r="J10" s="1">
        <v>35.073333333333338</v>
      </c>
      <c r="K10" s="1">
        <v>838.6765752714939</v>
      </c>
      <c r="L10" s="1">
        <v>855.6543333333334</v>
      </c>
      <c r="M10" s="1">
        <v>3.344581455447309</v>
      </c>
      <c r="N10" s="1">
        <v>3.3423333333333329</v>
      </c>
      <c r="O10" s="1">
        <v>15.125628377340661</v>
      </c>
      <c r="P10" s="1">
        <v>15.245799999999999</v>
      </c>
      <c r="Q10" s="1">
        <v>28.507560471765569</v>
      </c>
      <c r="R10" s="1">
        <v>30.081666666666671</v>
      </c>
      <c r="S10" s="1">
        <v>32.198329446511913</v>
      </c>
      <c r="T10" s="1">
        <v>32.500866666666667</v>
      </c>
      <c r="U10" s="1">
        <v>2570.409617950304</v>
      </c>
      <c r="V10" s="1">
        <v>2787.3685333333328</v>
      </c>
      <c r="W10" s="1">
        <v>4851.033680202464</v>
      </c>
      <c r="X10" s="1">
        <v>4736.7480999999998</v>
      </c>
      <c r="Y10" s="1">
        <v>-0.34062303491471901</v>
      </c>
      <c r="Z10" s="1">
        <v>0.68133333333333335</v>
      </c>
      <c r="AA10" s="1">
        <v>487.39860288385557</v>
      </c>
      <c r="AB10" s="1">
        <v>501.94966666666659</v>
      </c>
      <c r="AC10" s="1">
        <v>6</v>
      </c>
      <c r="AD10" s="1">
        <v>6.2E-2</v>
      </c>
      <c r="AE10" s="1">
        <v>6.2399999999999997E-2</v>
      </c>
      <c r="AF10" s="1">
        <v>4.75</v>
      </c>
      <c r="AG10" s="1">
        <v>4.7500000000000001E-2</v>
      </c>
      <c r="AH10" s="1">
        <v>4.7500000000000001E-2</v>
      </c>
      <c r="AI10" s="1">
        <v>287</v>
      </c>
      <c r="AJ10" s="1" t="s">
        <v>63</v>
      </c>
      <c r="AK10" s="1" t="s">
        <v>64</v>
      </c>
    </row>
    <row r="11" spans="1:37" x14ac:dyDescent="0.3">
      <c r="A11" s="1" t="s">
        <v>37</v>
      </c>
      <c r="B11" s="1">
        <v>20230331</v>
      </c>
      <c r="C11" s="1">
        <v>44.066699999999997</v>
      </c>
      <c r="D11" s="1">
        <v>11.998699999999999</v>
      </c>
      <c r="E11" s="1">
        <v>11.446</v>
      </c>
      <c r="F11" s="1">
        <v>16.22</v>
      </c>
      <c r="G11">
        <v>33.090099999999993</v>
      </c>
      <c r="H11" s="1">
        <v>33.0901</v>
      </c>
      <c r="I11" s="1">
        <v>39.359000000000002</v>
      </c>
      <c r="J11" s="1">
        <v>39.359000000000002</v>
      </c>
      <c r="K11" s="1">
        <v>870.3309999999999</v>
      </c>
      <c r="L11" s="1">
        <v>870.33100000000002</v>
      </c>
      <c r="M11" s="1">
        <v>3.3170000000000002</v>
      </c>
      <c r="N11" s="1">
        <v>3.3170000000000002</v>
      </c>
      <c r="O11" s="1">
        <v>15.1569</v>
      </c>
      <c r="P11" s="1">
        <v>15.1569</v>
      </c>
      <c r="Q11" s="1">
        <v>35.444000000000003</v>
      </c>
      <c r="R11" s="1">
        <v>35.444000000000003</v>
      </c>
      <c r="S11" s="1">
        <v>32.702500000000001</v>
      </c>
      <c r="T11" s="1">
        <v>32.702500000000001</v>
      </c>
      <c r="U11" s="1">
        <v>2112.2808</v>
      </c>
      <c r="V11" s="1">
        <v>2112.2808</v>
      </c>
      <c r="W11" s="1">
        <v>4800.8781999999992</v>
      </c>
      <c r="X11" s="1">
        <v>4800.8782000000001</v>
      </c>
      <c r="Y11" s="1">
        <v>0.67899999999999994</v>
      </c>
      <c r="Z11" s="1">
        <v>0.67900000000000005</v>
      </c>
      <c r="AA11" s="1">
        <v>518.23099999999999</v>
      </c>
      <c r="AB11" s="1">
        <v>518.23099999999999</v>
      </c>
      <c r="AC11" s="1">
        <v>5</v>
      </c>
      <c r="AD11" s="1">
        <v>0.06</v>
      </c>
      <c r="AE11" s="1">
        <v>6.0400000000000002E-2</v>
      </c>
      <c r="AF11" s="1">
        <v>5</v>
      </c>
      <c r="AG11" s="1">
        <v>0.05</v>
      </c>
      <c r="AH11" s="1">
        <v>4.9700000000000001E-2</v>
      </c>
      <c r="AI11" s="1">
        <v>146</v>
      </c>
      <c r="AJ11" s="1" t="s">
        <v>41</v>
      </c>
      <c r="AK11" s="1" t="s">
        <v>65</v>
      </c>
    </row>
    <row r="12" spans="1:37" x14ac:dyDescent="0.3">
      <c r="A12" s="1" t="s">
        <v>37</v>
      </c>
      <c r="B12" s="1">
        <v>20230428</v>
      </c>
      <c r="C12" s="1">
        <v>38.035400000000003</v>
      </c>
      <c r="D12" s="1">
        <v>10.356400000000001</v>
      </c>
      <c r="E12" s="1">
        <v>9.8794000000000004</v>
      </c>
      <c r="F12" s="1">
        <v>14</v>
      </c>
      <c r="G12">
        <v>34.330496284482237</v>
      </c>
      <c r="H12" s="1">
        <v>34.078333333333333</v>
      </c>
      <c r="I12" s="1">
        <v>43.207098780656757</v>
      </c>
      <c r="J12" s="1">
        <v>42.161666666666669</v>
      </c>
      <c r="K12" s="1">
        <v>919.73665687111873</v>
      </c>
      <c r="L12" s="1">
        <v>916.48333333333335</v>
      </c>
      <c r="M12" s="1">
        <v>3.285510499993149</v>
      </c>
      <c r="N12" s="1">
        <v>3.3086666666666669</v>
      </c>
      <c r="O12" s="1">
        <v>15.24492535294465</v>
      </c>
      <c r="P12" s="1">
        <v>15.22083333333333</v>
      </c>
      <c r="Q12" s="1">
        <v>40.529806741121277</v>
      </c>
      <c r="R12" s="1">
        <v>38.528333333333343</v>
      </c>
      <c r="S12" s="1">
        <v>33.288739346683201</v>
      </c>
      <c r="T12" s="1">
        <v>33.060733333333332</v>
      </c>
      <c r="U12" s="1">
        <v>2051.9798828499052</v>
      </c>
      <c r="V12" s="1">
        <v>2385.9765666666672</v>
      </c>
      <c r="W12" s="1">
        <v>4332.9682385290007</v>
      </c>
      <c r="X12" s="1">
        <v>4406.0266000000001</v>
      </c>
      <c r="Y12" s="1">
        <v>1.084274793591635</v>
      </c>
      <c r="Z12" s="1">
        <v>0.67766666666666675</v>
      </c>
      <c r="AA12" s="1">
        <v>551.9013227954307</v>
      </c>
      <c r="AB12" s="1">
        <v>545.80433333333337</v>
      </c>
      <c r="AC12" s="1">
        <v>4.9000000000000004</v>
      </c>
      <c r="AD12" s="1">
        <v>5.0999999999999997E-2</v>
      </c>
      <c r="AE12" s="1">
        <v>5.16E-2</v>
      </c>
      <c r="AF12" s="1">
        <v>5</v>
      </c>
      <c r="AG12" s="1">
        <v>0.05</v>
      </c>
      <c r="AH12" s="1">
        <v>4.9700000000000001E-2</v>
      </c>
      <c r="AI12" s="1">
        <v>278</v>
      </c>
      <c r="AJ12" s="1" t="s">
        <v>38</v>
      </c>
      <c r="AK12" s="1" t="s">
        <v>66</v>
      </c>
    </row>
    <row r="13" spans="1:37" x14ac:dyDescent="0.3">
      <c r="A13" s="1" t="s">
        <v>37</v>
      </c>
      <c r="B13" s="1">
        <v>20230531</v>
      </c>
      <c r="C13" s="1">
        <v>31.623699999999999</v>
      </c>
      <c r="D13" s="1">
        <v>8.6105999999999998</v>
      </c>
      <c r="E13" s="1">
        <v>8.2140000000000004</v>
      </c>
      <c r="F13" s="1">
        <v>11.64</v>
      </c>
      <c r="G13">
        <v>35.467558686277982</v>
      </c>
      <c r="H13" s="1">
        <v>35.066566666666667</v>
      </c>
      <c r="I13" s="1">
        <v>45.72827789272398</v>
      </c>
      <c r="J13" s="1">
        <v>44.964333333333343</v>
      </c>
      <c r="K13" s="1">
        <v>972.04754703126696</v>
      </c>
      <c r="L13" s="1">
        <v>962.63566666666668</v>
      </c>
      <c r="M13" s="1">
        <v>3.2692142749482742</v>
      </c>
      <c r="N13" s="1">
        <v>3.3003333333333331</v>
      </c>
      <c r="O13" s="1">
        <v>15.329796284482249</v>
      </c>
      <c r="P13" s="1">
        <v>15.28476666666667</v>
      </c>
      <c r="Q13" s="1">
        <v>43.51543779790083</v>
      </c>
      <c r="R13" s="1">
        <v>41.612666666666669</v>
      </c>
      <c r="S13" s="1">
        <v>33.728224980802167</v>
      </c>
      <c r="T13" s="1">
        <v>33.41896666666667</v>
      </c>
      <c r="U13" s="1">
        <v>2351.8292955291249</v>
      </c>
      <c r="V13" s="1">
        <v>2659.672333333333</v>
      </c>
      <c r="W13" s="1">
        <v>3782.3183551855509</v>
      </c>
      <c r="X13" s="1">
        <v>4011.1750000000002</v>
      </c>
      <c r="Y13" s="1">
        <v>0.95417123482672062</v>
      </c>
      <c r="Z13" s="1">
        <v>0.67633333333333334</v>
      </c>
      <c r="AA13" s="1">
        <v>581.5926256240208</v>
      </c>
      <c r="AB13" s="1">
        <v>573.37766666666664</v>
      </c>
      <c r="AC13" s="1">
        <v>4</v>
      </c>
      <c r="AD13" s="1">
        <v>0.05</v>
      </c>
      <c r="AE13" s="1">
        <v>0.05</v>
      </c>
      <c r="AF13" s="1">
        <v>5.25</v>
      </c>
      <c r="AG13" s="1">
        <v>5.2499999999999998E-2</v>
      </c>
      <c r="AH13" s="1">
        <v>5.2299999999999999E-2</v>
      </c>
      <c r="AI13" s="1">
        <v>303</v>
      </c>
      <c r="AJ13" s="1" t="s">
        <v>43</v>
      </c>
      <c r="AK13" s="1" t="s">
        <v>67</v>
      </c>
    </row>
    <row r="14" spans="1:37" x14ac:dyDescent="0.3">
      <c r="A14" s="1" t="s">
        <v>37</v>
      </c>
      <c r="B14" s="1">
        <v>20230630</v>
      </c>
      <c r="C14" s="1">
        <v>33.158700000000003</v>
      </c>
      <c r="D14" s="1">
        <v>9.0286000000000008</v>
      </c>
      <c r="E14" s="1">
        <v>8.6127000000000002</v>
      </c>
      <c r="F14" s="1">
        <v>12.205</v>
      </c>
      <c r="G14">
        <v>36.054799999999993</v>
      </c>
      <c r="H14" s="1">
        <v>36.0548</v>
      </c>
      <c r="I14" s="1">
        <v>47.76700000000001</v>
      </c>
      <c r="J14" s="1">
        <v>47.767000000000003</v>
      </c>
      <c r="K14" s="1">
        <v>1008.788</v>
      </c>
      <c r="L14" s="1">
        <v>1008.788</v>
      </c>
      <c r="M14" s="1">
        <v>3.2919999999999998</v>
      </c>
      <c r="N14" s="1">
        <v>3.2919999999999998</v>
      </c>
      <c r="O14" s="1">
        <v>15.348699999999999</v>
      </c>
      <c r="P14" s="1">
        <v>15.348699999999999</v>
      </c>
      <c r="Q14" s="1">
        <v>44.69700000000001</v>
      </c>
      <c r="R14" s="1">
        <v>44.697000000000003</v>
      </c>
      <c r="S14" s="1">
        <v>33.777199999999993</v>
      </c>
      <c r="T14" s="1">
        <v>33.777200000000001</v>
      </c>
      <c r="U14" s="1">
        <v>2933.368100000001</v>
      </c>
      <c r="V14" s="1">
        <v>2933.3681000000001</v>
      </c>
      <c r="W14" s="1">
        <v>3616.3234000000002</v>
      </c>
      <c r="X14" s="1">
        <v>3616.3234000000002</v>
      </c>
      <c r="Y14" s="1">
        <v>0.67500000000000004</v>
      </c>
      <c r="Z14" s="1">
        <v>0.67500000000000004</v>
      </c>
      <c r="AA14" s="1">
        <v>600.95100000000014</v>
      </c>
      <c r="AB14" s="1">
        <v>600.95100000000002</v>
      </c>
      <c r="AC14" s="1">
        <v>3</v>
      </c>
      <c r="AD14" s="1">
        <v>4.1000000000000002E-2</v>
      </c>
      <c r="AE14" s="1">
        <v>4.1099999999999998E-2</v>
      </c>
      <c r="AF14" s="1">
        <v>5.25</v>
      </c>
      <c r="AG14" s="1">
        <v>5.2499999999999998E-2</v>
      </c>
      <c r="AH14" s="1">
        <v>5.2699999999999997E-2</v>
      </c>
      <c r="AI14" s="1">
        <v>240</v>
      </c>
      <c r="AJ14" s="1" t="s">
        <v>45</v>
      </c>
      <c r="AK14" s="1" t="s">
        <v>68</v>
      </c>
    </row>
    <row r="15" spans="1:37" x14ac:dyDescent="0.3">
      <c r="A15" s="1" t="s">
        <v>37</v>
      </c>
      <c r="B15" s="1">
        <v>20230731</v>
      </c>
      <c r="C15" s="1">
        <v>41.214100000000002</v>
      </c>
      <c r="D15" s="1">
        <v>11.2219</v>
      </c>
      <c r="E15" s="1">
        <v>10.705</v>
      </c>
      <c r="F15" s="1">
        <v>15.17</v>
      </c>
      <c r="G15">
        <v>35.813602451414731</v>
      </c>
      <c r="H15" s="1">
        <v>35.564933333333343</v>
      </c>
      <c r="I15" s="1">
        <v>49.875022176243753</v>
      </c>
      <c r="J15" s="1">
        <v>49.021333333333338</v>
      </c>
      <c r="K15" s="1">
        <v>1017.657529335642</v>
      </c>
      <c r="L15" s="1">
        <v>1008.378666666667</v>
      </c>
      <c r="M15" s="1">
        <v>3.3657291048355051</v>
      </c>
      <c r="N15" s="1">
        <v>3.3643333333333332</v>
      </c>
      <c r="O15" s="1">
        <v>15.26835037509599</v>
      </c>
      <c r="P15" s="1">
        <v>15.292033333333331</v>
      </c>
      <c r="Q15" s="1">
        <v>44.367994926160577</v>
      </c>
      <c r="R15" s="1">
        <v>43.234000000000002</v>
      </c>
      <c r="S15" s="1">
        <v>33.309255933605058</v>
      </c>
      <c r="T15" s="1">
        <v>33.288766666666668</v>
      </c>
      <c r="U15" s="1">
        <v>3694.6801254920538</v>
      </c>
      <c r="V15" s="1">
        <v>3605.652133333333</v>
      </c>
      <c r="W15" s="1">
        <v>4138.6680710140236</v>
      </c>
      <c r="X15" s="1">
        <v>4304.2297666666664</v>
      </c>
      <c r="Y15" s="1">
        <v>0.55247224681005269</v>
      </c>
      <c r="Z15" s="1">
        <v>0.66</v>
      </c>
      <c r="AA15" s="1">
        <v>606.16311271335462</v>
      </c>
      <c r="AB15" s="1">
        <v>601.32900000000006</v>
      </c>
      <c r="AC15" s="1">
        <v>3.2</v>
      </c>
      <c r="AD15" s="1">
        <v>3.1E-2</v>
      </c>
      <c r="AE15" s="1">
        <v>3.09E-2</v>
      </c>
      <c r="AF15" s="1">
        <v>5.5</v>
      </c>
      <c r="AG15" s="1">
        <v>5.5E-2</v>
      </c>
      <c r="AH15" s="1">
        <v>5.4899999999999997E-2</v>
      </c>
      <c r="AI15" s="1">
        <v>184</v>
      </c>
      <c r="AJ15" s="1" t="s">
        <v>38</v>
      </c>
      <c r="AK15" s="1" t="s">
        <v>69</v>
      </c>
    </row>
    <row r="16" spans="1:37" x14ac:dyDescent="0.3">
      <c r="A16" s="1" t="s">
        <v>37</v>
      </c>
      <c r="B16" s="1">
        <v>20230831</v>
      </c>
      <c r="C16" s="1">
        <v>58.2485</v>
      </c>
      <c r="D16" s="1">
        <v>15.860099999999999</v>
      </c>
      <c r="E16" s="1">
        <v>15.1296</v>
      </c>
      <c r="F16" s="1">
        <v>21.44</v>
      </c>
      <c r="G16">
        <v>35.136825990903183</v>
      </c>
      <c r="H16" s="1">
        <v>35.075066666666658</v>
      </c>
      <c r="I16" s="1">
        <v>51.433279135056473</v>
      </c>
      <c r="J16" s="1">
        <v>50.275666666666673</v>
      </c>
      <c r="K16" s="1">
        <v>1011.056384751587</v>
      </c>
      <c r="L16" s="1">
        <v>1007.969333333333</v>
      </c>
      <c r="M16" s="1">
        <v>3.454154037352188</v>
      </c>
      <c r="N16" s="1">
        <v>3.436666666666667</v>
      </c>
      <c r="O16" s="1">
        <v>15.173567966211831</v>
      </c>
      <c r="P16" s="1">
        <v>15.235366666666669</v>
      </c>
      <c r="Q16" s="1">
        <v>42.811503151445962</v>
      </c>
      <c r="R16" s="1">
        <v>41.771000000000001</v>
      </c>
      <c r="S16" s="1">
        <v>32.667378037686809</v>
      </c>
      <c r="T16" s="1">
        <v>32.800333333333327</v>
      </c>
      <c r="U16" s="1">
        <v>4440.0282703035646</v>
      </c>
      <c r="V16" s="1">
        <v>4277.9361666666664</v>
      </c>
      <c r="W16" s="1">
        <v>4998.1964583145918</v>
      </c>
      <c r="X16" s="1">
        <v>4992.1361333333334</v>
      </c>
      <c r="Y16" s="1">
        <v>0.56990105857080009</v>
      </c>
      <c r="Z16" s="1">
        <v>0.64500000000000002</v>
      </c>
      <c r="AA16" s="1">
        <v>603.57793165709802</v>
      </c>
      <c r="AB16" s="1">
        <v>601.70699999999999</v>
      </c>
      <c r="AC16" s="1">
        <v>3.7</v>
      </c>
      <c r="AD16" s="1">
        <v>3.3000000000000002E-2</v>
      </c>
      <c r="AE16" s="1">
        <v>3.2599999999999997E-2</v>
      </c>
      <c r="AF16" s="1">
        <v>5.5</v>
      </c>
      <c r="AG16" s="1">
        <v>5.5E-2</v>
      </c>
      <c r="AH16" s="1">
        <v>5.4899999999999997E-2</v>
      </c>
      <c r="AI16" s="1">
        <v>210</v>
      </c>
      <c r="AJ16" s="1" t="s">
        <v>42</v>
      </c>
      <c r="AK16" s="1" t="s">
        <v>70</v>
      </c>
    </row>
    <row r="17" spans="1:37" x14ac:dyDescent="0.3">
      <c r="A17" s="1" t="s">
        <v>37</v>
      </c>
      <c r="B17" s="1">
        <v>20230929</v>
      </c>
      <c r="C17" s="1">
        <v>52.081400000000002</v>
      </c>
      <c r="D17" s="1">
        <v>14.180899999999999</v>
      </c>
      <c r="E17" s="1">
        <v>13.527699999999999</v>
      </c>
      <c r="F17" s="1">
        <v>19.170000000000002</v>
      </c>
      <c r="G17">
        <v>34.585199999999993</v>
      </c>
      <c r="H17" s="1">
        <v>34.5852</v>
      </c>
      <c r="I17" s="1">
        <v>51.53</v>
      </c>
      <c r="J17" s="1">
        <v>51.53</v>
      </c>
      <c r="K17" s="1">
        <v>1007.56</v>
      </c>
      <c r="L17" s="1">
        <v>1007.56</v>
      </c>
      <c r="M17" s="1">
        <v>3.5089999999999999</v>
      </c>
      <c r="N17" s="1">
        <v>3.5089999999999999</v>
      </c>
      <c r="O17" s="1">
        <v>15.178699999999999</v>
      </c>
      <c r="P17" s="1">
        <v>15.178699999999999</v>
      </c>
      <c r="Q17" s="1">
        <v>40.307999999999993</v>
      </c>
      <c r="R17" s="1">
        <v>40.308</v>
      </c>
      <c r="S17" s="1">
        <v>32.311900000000009</v>
      </c>
      <c r="T17" s="1">
        <v>32.311900000000001</v>
      </c>
      <c r="U17" s="1">
        <v>4950.2202000000007</v>
      </c>
      <c r="V17" s="1">
        <v>4950.2201999999997</v>
      </c>
      <c r="W17" s="1">
        <v>5680.0424999999996</v>
      </c>
      <c r="X17" s="1">
        <v>5680.0424999999996</v>
      </c>
      <c r="Y17" s="1">
        <v>0.62999999999999989</v>
      </c>
      <c r="Z17" s="1">
        <v>0.63</v>
      </c>
      <c r="AA17" s="1">
        <v>602.08500000000004</v>
      </c>
      <c r="AB17" s="1">
        <v>602.08500000000004</v>
      </c>
      <c r="AC17" s="1">
        <v>3.7</v>
      </c>
      <c r="AD17" s="1">
        <v>3.5999999999999997E-2</v>
      </c>
      <c r="AE17" s="1">
        <v>3.6200000000000003E-2</v>
      </c>
      <c r="AF17" s="1">
        <v>5.5</v>
      </c>
      <c r="AG17" s="1">
        <v>5.5E-2</v>
      </c>
      <c r="AH17" s="1">
        <v>5.5100000000000003E-2</v>
      </c>
      <c r="AI17" s="1">
        <v>246</v>
      </c>
      <c r="AJ17" s="1" t="s">
        <v>71</v>
      </c>
      <c r="AK17" s="1" t="s">
        <v>72</v>
      </c>
    </row>
    <row r="18" spans="1:37" x14ac:dyDescent="0.3">
      <c r="A18" s="1" t="s">
        <v>37</v>
      </c>
      <c r="B18" s="1">
        <v>20231031</v>
      </c>
      <c r="C18" s="1">
        <v>45.778300000000002</v>
      </c>
      <c r="D18" s="1">
        <v>12.464700000000001</v>
      </c>
      <c r="E18" s="1">
        <v>11.890599999999999</v>
      </c>
      <c r="F18" s="1">
        <v>16.850000000000001</v>
      </c>
      <c r="G18">
        <v>34.555405020969928</v>
      </c>
      <c r="H18" s="1">
        <v>34.676533333333332</v>
      </c>
      <c r="I18" s="1">
        <v>49.51518288473865</v>
      </c>
      <c r="J18" s="1">
        <v>48.020333333333333</v>
      </c>
      <c r="K18" s="1">
        <v>1021.410448008538</v>
      </c>
      <c r="L18" s="1">
        <v>1033.191</v>
      </c>
      <c r="M18" s="1">
        <v>3.494647154738904</v>
      </c>
      <c r="N18" s="1">
        <v>3.449666666666666</v>
      </c>
      <c r="O18" s="1">
        <v>15.348284257782501</v>
      </c>
      <c r="P18" s="1">
        <v>15.31653333333333</v>
      </c>
      <c r="Q18" s="1">
        <v>37.085917257940132</v>
      </c>
      <c r="R18" s="1">
        <v>36.377000000000002</v>
      </c>
      <c r="S18" s="1">
        <v>32.550955437415091</v>
      </c>
      <c r="T18" s="1">
        <v>32.693866666666658</v>
      </c>
      <c r="U18" s="1">
        <v>5065.6774559226224</v>
      </c>
      <c r="V18" s="1">
        <v>4795.9834666666666</v>
      </c>
      <c r="W18" s="1">
        <v>5803.0976700074962</v>
      </c>
      <c r="X18" s="1">
        <v>5494.1214666666656</v>
      </c>
      <c r="Y18" s="1">
        <v>0.65520658953852529</v>
      </c>
      <c r="Z18" s="1">
        <v>0.62866666666666671</v>
      </c>
      <c r="AA18" s="1">
        <v>608.56578190670643</v>
      </c>
      <c r="AB18" s="1">
        <v>614.33566666666673</v>
      </c>
      <c r="AC18" s="1">
        <v>3.2</v>
      </c>
      <c r="AD18" s="1">
        <v>3.5999999999999997E-2</v>
      </c>
      <c r="AE18" s="1">
        <v>3.5999999999999997E-2</v>
      </c>
      <c r="AF18" s="1">
        <v>5.5</v>
      </c>
      <c r="AG18" s="1">
        <v>5.5E-2</v>
      </c>
      <c r="AH18" s="1">
        <v>5.5100000000000003E-2</v>
      </c>
      <c r="AI18" s="1">
        <v>165</v>
      </c>
      <c r="AJ18" s="1" t="s">
        <v>71</v>
      </c>
      <c r="AK18" s="1" t="s">
        <v>73</v>
      </c>
    </row>
    <row r="19" spans="1:37" x14ac:dyDescent="0.3">
      <c r="A19" s="1" t="s">
        <v>37</v>
      </c>
      <c r="B19" s="1">
        <v>20231130</v>
      </c>
      <c r="C19" s="1">
        <v>46.865099999999998</v>
      </c>
      <c r="D19" s="1">
        <v>12.7606</v>
      </c>
      <c r="E19" s="1">
        <v>12.172800000000001</v>
      </c>
      <c r="F19" s="1">
        <v>17.25</v>
      </c>
      <c r="G19">
        <v>34.787926238998168</v>
      </c>
      <c r="H19" s="1">
        <v>34.76786666666667</v>
      </c>
      <c r="I19" s="1">
        <v>45.785901863346467</v>
      </c>
      <c r="J19" s="1">
        <v>44.510666666666673</v>
      </c>
      <c r="K19" s="1">
        <v>1049.51635840683</v>
      </c>
      <c r="L19" s="1">
        <v>1058.8219999999999</v>
      </c>
      <c r="M19" s="1">
        <v>3.4260955015689012</v>
      </c>
      <c r="N19" s="1">
        <v>3.390333333333333</v>
      </c>
      <c r="O19" s="1">
        <v>15.54762073955933</v>
      </c>
      <c r="P19" s="1">
        <v>15.454366666666671</v>
      </c>
      <c r="Q19" s="1">
        <v>33.165512559278277</v>
      </c>
      <c r="R19" s="1">
        <v>32.445999999999998</v>
      </c>
      <c r="S19" s="1">
        <v>33.083877683265399</v>
      </c>
      <c r="T19" s="1">
        <v>33.075833333333343</v>
      </c>
      <c r="U19" s="1">
        <v>4865.277082515875</v>
      </c>
      <c r="V19" s="1">
        <v>4641.7467333333334</v>
      </c>
      <c r="W19" s="1">
        <v>5521.2835856301526</v>
      </c>
      <c r="X19" s="1">
        <v>5308.2004333333334</v>
      </c>
      <c r="Y19" s="1">
        <v>0.6468541605197089</v>
      </c>
      <c r="Z19" s="1">
        <v>0.6273333333333333</v>
      </c>
      <c r="AA19" s="1">
        <v>621.86942552536516</v>
      </c>
      <c r="AB19" s="1">
        <v>626.5863333333333</v>
      </c>
      <c r="AC19" s="1">
        <v>3.1</v>
      </c>
      <c r="AD19" s="1">
        <v>3.3000000000000002E-2</v>
      </c>
      <c r="AE19" s="1">
        <v>3.3099999999999997E-2</v>
      </c>
      <c r="AF19" s="1">
        <v>5.5</v>
      </c>
      <c r="AG19" s="1">
        <v>5.5E-2</v>
      </c>
      <c r="AH19" s="1">
        <v>5.5E-2</v>
      </c>
      <c r="AI19" s="1">
        <v>182</v>
      </c>
      <c r="AJ19" s="1" t="s">
        <v>47</v>
      </c>
      <c r="AK19" s="1" t="s">
        <v>74</v>
      </c>
    </row>
    <row r="20" spans="1:37" x14ac:dyDescent="0.3">
      <c r="A20" s="1" t="s">
        <v>37</v>
      </c>
      <c r="B20" s="1">
        <v>20231229</v>
      </c>
      <c r="C20" s="1">
        <v>48.060499999999998</v>
      </c>
      <c r="D20" s="1">
        <v>13.0861</v>
      </c>
      <c r="E20" s="1">
        <v>12.4833</v>
      </c>
      <c r="F20" s="1">
        <v>17.690000000000001</v>
      </c>
      <c r="G20">
        <v>34.859200000000001</v>
      </c>
      <c r="H20" s="1">
        <v>34.859200000000001</v>
      </c>
      <c r="I20" s="1">
        <v>41.000999999999998</v>
      </c>
      <c r="J20" s="1">
        <v>41.000999999999998</v>
      </c>
      <c r="K20" s="1">
        <v>1084.453</v>
      </c>
      <c r="L20" s="1">
        <v>1084.453</v>
      </c>
      <c r="M20" s="1">
        <v>3.331</v>
      </c>
      <c r="N20" s="1">
        <v>3.331</v>
      </c>
      <c r="O20" s="1">
        <v>15.5922</v>
      </c>
      <c r="P20" s="1">
        <v>15.5922</v>
      </c>
      <c r="Q20" s="1">
        <v>28.515000000000001</v>
      </c>
      <c r="R20" s="1">
        <v>28.515000000000001</v>
      </c>
      <c r="S20" s="1">
        <v>33.457799999999999</v>
      </c>
      <c r="T20" s="1">
        <v>33.457799999999999</v>
      </c>
      <c r="U20" s="1">
        <v>4487.51</v>
      </c>
      <c r="V20" s="1">
        <v>4487.51</v>
      </c>
      <c r="W20" s="1">
        <v>5122.2793999999994</v>
      </c>
      <c r="X20" s="1">
        <v>5122.2794000000004</v>
      </c>
      <c r="Y20" s="1">
        <v>0.62599999999999989</v>
      </c>
      <c r="Z20" s="1">
        <v>0.626</v>
      </c>
      <c r="AA20" s="1">
        <v>638.8370000000001</v>
      </c>
      <c r="AB20" s="1">
        <v>638.83699999999999</v>
      </c>
      <c r="AC20" s="1">
        <v>3.4</v>
      </c>
      <c r="AD20" s="1">
        <v>3.1E-2</v>
      </c>
      <c r="AE20" s="1">
        <v>3.09E-2</v>
      </c>
      <c r="AF20" s="1">
        <v>5.5</v>
      </c>
      <c r="AG20" s="1">
        <v>5.5E-2</v>
      </c>
      <c r="AH20" s="1">
        <v>5.5E-2</v>
      </c>
      <c r="AI20" s="1">
        <v>290</v>
      </c>
      <c r="AJ20" s="1" t="s">
        <v>43</v>
      </c>
      <c r="AK20" s="1" t="s">
        <v>75</v>
      </c>
    </row>
    <row r="21" spans="1:37" x14ac:dyDescent="0.3">
      <c r="A21" s="1" t="s">
        <v>37</v>
      </c>
      <c r="B21" s="1">
        <v>20240131</v>
      </c>
      <c r="C21" s="1">
        <v>51.0837</v>
      </c>
      <c r="D21" s="1">
        <v>10.2516</v>
      </c>
      <c r="E21" s="1">
        <v>7.2328000000000001</v>
      </c>
      <c r="F21" s="1">
        <v>16.11</v>
      </c>
      <c r="G21">
        <v>34.34566264989072</v>
      </c>
      <c r="H21" s="1">
        <v>33.196100000000001</v>
      </c>
      <c r="I21" s="1">
        <v>35.81932035887575</v>
      </c>
      <c r="J21" s="1">
        <v>36.301000000000002</v>
      </c>
      <c r="K21" s="1">
        <v>1118.795641593169</v>
      </c>
      <c r="L21" s="1">
        <v>1108.3019999999999</v>
      </c>
      <c r="M21" s="1">
        <v>3.2370156095422091</v>
      </c>
      <c r="N21" s="1">
        <v>3.2749999999999999</v>
      </c>
      <c r="O21" s="1">
        <v>15.297512593774</v>
      </c>
      <c r="P21" s="1">
        <v>14.71223333333333</v>
      </c>
      <c r="Q21" s="1">
        <v>23.39307678281963</v>
      </c>
      <c r="R21" s="1">
        <v>24.91266666666667</v>
      </c>
      <c r="S21" s="1">
        <v>33.219855650067927</v>
      </c>
      <c r="T21" s="1">
        <v>32.004166666666663</v>
      </c>
      <c r="U21" s="1">
        <v>4070.867128595235</v>
      </c>
      <c r="V21" s="1">
        <v>4216.6459000000004</v>
      </c>
      <c r="W21" s="1">
        <v>4829.0294415485832</v>
      </c>
      <c r="X21" s="1">
        <v>4865.2121000000006</v>
      </c>
      <c r="Y21" s="1">
        <v>0.61370139503584653</v>
      </c>
      <c r="Z21" s="1">
        <v>0.65033333333333332</v>
      </c>
      <c r="AA21" s="1">
        <v>656.30957447463516</v>
      </c>
      <c r="AB21" s="1">
        <v>652.60266666666666</v>
      </c>
      <c r="AC21" s="1">
        <v>3.1</v>
      </c>
      <c r="AD21" s="1">
        <v>3.2000000000000001E-2</v>
      </c>
      <c r="AE21" s="1">
        <v>3.2300000000000002E-2</v>
      </c>
      <c r="AF21" s="1">
        <v>5.5</v>
      </c>
      <c r="AG21" s="1">
        <v>5.5E-2</v>
      </c>
      <c r="AH21" s="1">
        <v>5.5E-2</v>
      </c>
      <c r="AI21" s="1">
        <v>256</v>
      </c>
      <c r="AJ21" s="1" t="s">
        <v>48</v>
      </c>
      <c r="AK21" s="1" t="s">
        <v>76</v>
      </c>
    </row>
    <row r="22" spans="1:37" x14ac:dyDescent="0.3">
      <c r="A22" s="1" t="s">
        <v>37</v>
      </c>
      <c r="B22" s="1">
        <v>20240229</v>
      </c>
      <c r="C22" s="1">
        <v>52.8277</v>
      </c>
      <c r="D22" s="1">
        <v>10.601599999999999</v>
      </c>
      <c r="E22" s="1">
        <v>7.4797000000000002</v>
      </c>
      <c r="F22" s="1">
        <v>16.66</v>
      </c>
      <c r="G22">
        <v>32.823750534585614</v>
      </c>
      <c r="H22" s="1">
        <v>31.533000000000001</v>
      </c>
      <c r="I22" s="1">
        <v>30.899706004150239</v>
      </c>
      <c r="J22" s="1">
        <v>31.600999999999999</v>
      </c>
      <c r="K22" s="1">
        <v>1145.119551991462</v>
      </c>
      <c r="L22" s="1">
        <v>1132.1510000000001</v>
      </c>
      <c r="M22" s="1">
        <v>3.1717972897055389</v>
      </c>
      <c r="N22" s="1">
        <v>3.2189999999999999</v>
      </c>
      <c r="O22" s="1">
        <v>14.479049075550829</v>
      </c>
      <c r="P22" s="1">
        <v>13.832266666666669</v>
      </c>
      <c r="Q22" s="1">
        <v>19.220372537366821</v>
      </c>
      <c r="R22" s="1">
        <v>21.310333333333329</v>
      </c>
      <c r="S22" s="1">
        <v>31.91717789591824</v>
      </c>
      <c r="T22" s="1">
        <v>30.55053333333333</v>
      </c>
      <c r="U22" s="1">
        <v>3753.839388521822</v>
      </c>
      <c r="V22" s="1">
        <v>3945.7818000000002</v>
      </c>
      <c r="W22" s="1">
        <v>4605.5387399055326</v>
      </c>
      <c r="X22" s="1">
        <v>4608.1448</v>
      </c>
      <c r="Y22" s="1">
        <v>0.63101563268369687</v>
      </c>
      <c r="Z22" s="1">
        <v>0.67466666666666664</v>
      </c>
      <c r="AA22" s="1">
        <v>671.12821809329375</v>
      </c>
      <c r="AB22" s="1">
        <v>666.36833333333334</v>
      </c>
      <c r="AC22" s="1">
        <v>3.2</v>
      </c>
      <c r="AD22" s="1">
        <v>2.9000000000000001E-2</v>
      </c>
      <c r="AE22" s="1">
        <v>2.9499999999999998E-2</v>
      </c>
      <c r="AF22" s="1">
        <v>5.5</v>
      </c>
      <c r="AG22" s="1">
        <v>5.5E-2</v>
      </c>
      <c r="AH22" s="1">
        <v>5.5E-2</v>
      </c>
      <c r="AI22" s="1">
        <v>236</v>
      </c>
      <c r="AJ22" s="1" t="s">
        <v>43</v>
      </c>
      <c r="AK22" s="1" t="s">
        <v>77</v>
      </c>
    </row>
    <row r="23" spans="1:37" x14ac:dyDescent="0.3">
      <c r="A23" s="1" t="s">
        <v>37</v>
      </c>
      <c r="B23" s="1">
        <v>20240329</v>
      </c>
      <c r="C23" s="1">
        <v>46.612699999999997</v>
      </c>
      <c r="D23" s="1">
        <v>9.3543000000000003</v>
      </c>
      <c r="E23" s="1">
        <v>6.5997000000000003</v>
      </c>
      <c r="F23" s="1">
        <v>14.7</v>
      </c>
      <c r="G23">
        <v>29.869900000000001</v>
      </c>
      <c r="H23" s="1">
        <v>29.869900000000001</v>
      </c>
      <c r="I23" s="1">
        <v>26.901</v>
      </c>
      <c r="J23" s="1">
        <v>26.901</v>
      </c>
      <c r="K23" s="1">
        <v>1156</v>
      </c>
      <c r="L23" s="1">
        <v>1156</v>
      </c>
      <c r="M23" s="1">
        <v>3.1629999999999998</v>
      </c>
      <c r="N23" s="1">
        <v>3.1629999999999998</v>
      </c>
      <c r="O23" s="1">
        <v>12.952299999999999</v>
      </c>
      <c r="P23" s="1">
        <v>12.952299999999999</v>
      </c>
      <c r="Q23" s="1">
        <v>17.707999999999998</v>
      </c>
      <c r="R23" s="1">
        <v>17.707999999999998</v>
      </c>
      <c r="S23" s="1">
        <v>29.096900000000002</v>
      </c>
      <c r="T23" s="1">
        <v>29.096900000000002</v>
      </c>
      <c r="U23" s="1">
        <v>3674.9177</v>
      </c>
      <c r="V23" s="1">
        <v>3674.9177</v>
      </c>
      <c r="W23" s="1">
        <v>4351.0775000000003</v>
      </c>
      <c r="X23" s="1">
        <v>4351.0775000000003</v>
      </c>
      <c r="Y23" s="1">
        <v>0.69899999999999995</v>
      </c>
      <c r="Z23" s="1">
        <v>0.69899999999999995</v>
      </c>
      <c r="AA23" s="1">
        <v>680.13400000000001</v>
      </c>
      <c r="AB23" s="1">
        <v>680.13400000000001</v>
      </c>
      <c r="AC23" s="1">
        <v>3.5</v>
      </c>
      <c r="AD23" s="1">
        <v>3.1E-2</v>
      </c>
      <c r="AE23" s="1">
        <v>3.1099999999999999E-2</v>
      </c>
      <c r="AF23" s="1">
        <v>5.5</v>
      </c>
      <c r="AG23" s="1">
        <v>5.5E-2</v>
      </c>
      <c r="AH23" s="1">
        <v>5.5E-2</v>
      </c>
      <c r="AI23" s="1">
        <v>310</v>
      </c>
      <c r="AJ23" s="1" t="s">
        <v>42</v>
      </c>
      <c r="AK23" s="1" t="s">
        <v>78</v>
      </c>
    </row>
    <row r="24" spans="1:37" x14ac:dyDescent="0.3">
      <c r="A24" s="1" t="s">
        <v>37</v>
      </c>
      <c r="B24" s="1">
        <v>20240430</v>
      </c>
      <c r="C24" s="1">
        <v>45.058900000000001</v>
      </c>
      <c r="D24" s="1">
        <v>9.0425000000000004</v>
      </c>
      <c r="E24" s="1">
        <v>6.3796999999999997</v>
      </c>
      <c r="F24" s="1">
        <v>14.21</v>
      </c>
      <c r="G24" s="2"/>
      <c r="H24" s="3"/>
      <c r="I24" s="3"/>
      <c r="J24" s="3"/>
      <c r="K24" s="3"/>
      <c r="L24" s="3"/>
      <c r="M24" s="3"/>
      <c r="N24" s="3"/>
      <c r="O24" s="3"/>
      <c r="P24" s="3"/>
      <c r="Q24" s="1">
        <v>20.567071907077629</v>
      </c>
      <c r="R24" s="1">
        <v>27.22</v>
      </c>
      <c r="S24" s="3"/>
      <c r="T24" s="3"/>
      <c r="U24" s="3"/>
      <c r="V24" s="3"/>
      <c r="W24" s="1">
        <v>3964.915926761134</v>
      </c>
      <c r="X24" s="1">
        <v>3698.9092000000001</v>
      </c>
      <c r="Y24" s="3"/>
      <c r="Z24" s="3"/>
      <c r="AA24" s="3"/>
      <c r="AB24" s="3"/>
      <c r="AC24" s="1">
        <v>3.4</v>
      </c>
      <c r="AD24" s="1">
        <v>3.4000000000000002E-2</v>
      </c>
      <c r="AE24" s="1">
        <v>3.4200000000000001E-2</v>
      </c>
      <c r="AF24" s="1">
        <v>5.5</v>
      </c>
      <c r="AG24" s="1">
        <v>5.5E-2</v>
      </c>
      <c r="AH24" s="1">
        <v>5.5E-2</v>
      </c>
      <c r="AI24" s="1">
        <v>108</v>
      </c>
      <c r="AJ24" s="1" t="s">
        <v>79</v>
      </c>
      <c r="AK24" s="1" t="s">
        <v>80</v>
      </c>
    </row>
    <row r="25" spans="1:37" x14ac:dyDescent="0.3">
      <c r="A25" s="1" t="s">
        <v>37</v>
      </c>
      <c r="B25" s="1">
        <v>20240531</v>
      </c>
      <c r="C25" s="1">
        <v>29.013999999999999</v>
      </c>
      <c r="D25" s="1">
        <v>5.8226000000000004</v>
      </c>
      <c r="E25" s="1">
        <v>4.1079999999999997</v>
      </c>
      <c r="F25" s="1">
        <v>9.15</v>
      </c>
      <c r="G25" s="2"/>
      <c r="H25" s="3"/>
      <c r="I25" s="3"/>
      <c r="J25" s="3"/>
      <c r="K25" s="3"/>
      <c r="L25" s="3"/>
      <c r="M25" s="3"/>
      <c r="N25" s="3"/>
      <c r="O25" s="3"/>
      <c r="P25" s="3"/>
      <c r="Q25" s="1">
        <v>29.50870099495814</v>
      </c>
      <c r="R25" s="1">
        <v>36.731999999999999</v>
      </c>
      <c r="S25" s="3"/>
      <c r="T25" s="3"/>
      <c r="U25" s="3"/>
      <c r="V25" s="3"/>
      <c r="W25" s="1">
        <v>3346.3242251180832</v>
      </c>
      <c r="X25" s="1">
        <v>3046.7408999999998</v>
      </c>
      <c r="Y25" s="3"/>
      <c r="Z25" s="3"/>
      <c r="AA25" s="3"/>
      <c r="AB25" s="3"/>
      <c r="AC25" s="1">
        <v>3.3</v>
      </c>
      <c r="AD25" s="1">
        <v>3.4000000000000002E-2</v>
      </c>
      <c r="AE25" s="1">
        <v>3.4000000000000002E-2</v>
      </c>
      <c r="AF25" s="1">
        <v>5.5</v>
      </c>
      <c r="AG25" s="1">
        <v>5.5E-2</v>
      </c>
      <c r="AH25" s="1">
        <v>5.5E-2</v>
      </c>
      <c r="AI25" s="1">
        <v>216</v>
      </c>
      <c r="AJ25" s="1" t="s">
        <v>39</v>
      </c>
      <c r="AK25" s="1" t="s">
        <v>81</v>
      </c>
    </row>
    <row r="26" spans="1:37" x14ac:dyDescent="0.3">
      <c r="A26" s="1" t="s">
        <v>37</v>
      </c>
      <c r="B26" s="1">
        <v>20240628</v>
      </c>
      <c r="C26" s="1">
        <v>25.652799999999999</v>
      </c>
      <c r="D26" s="1">
        <v>5.1481000000000003</v>
      </c>
      <c r="E26" s="1">
        <v>3.6320999999999999</v>
      </c>
      <c r="F26" s="1">
        <v>8.09</v>
      </c>
      <c r="G26" s="2">
        <v>31.948</v>
      </c>
      <c r="H26" s="3">
        <v>31.948</v>
      </c>
      <c r="I26" s="3">
        <v>30.195</v>
      </c>
      <c r="J26" s="3">
        <v>30.195</v>
      </c>
      <c r="K26" s="3">
        <v>1195.684</v>
      </c>
      <c r="L26" s="3">
        <v>1195.684</v>
      </c>
      <c r="M26" s="3">
        <v>3.1059999999999999</v>
      </c>
      <c r="N26" s="3">
        <v>3.1059999999999999</v>
      </c>
      <c r="O26" s="3">
        <v>12.045999999999999</v>
      </c>
      <c r="P26" s="3">
        <v>12.045999999999999</v>
      </c>
      <c r="Q26" s="1">
        <v>46.244</v>
      </c>
      <c r="R26" s="1">
        <v>46.244</v>
      </c>
      <c r="S26" s="3">
        <v>26.910599999999999</v>
      </c>
      <c r="T26" s="3">
        <v>26.910599999999999</v>
      </c>
      <c r="U26" s="3">
        <v>1674.8218999999999</v>
      </c>
      <c r="V26" s="3">
        <v>1674.8218999999999</v>
      </c>
      <c r="W26" s="1">
        <v>2394.5726</v>
      </c>
      <c r="X26" s="1">
        <v>2394.5726</v>
      </c>
      <c r="Y26" s="3">
        <v>0.78200000000000003</v>
      </c>
      <c r="Z26" s="3">
        <v>0.78200000000000003</v>
      </c>
      <c r="AA26" s="3">
        <v>651.91700000000003</v>
      </c>
      <c r="AB26" s="3"/>
      <c r="AC26" s="1">
        <v>3</v>
      </c>
      <c r="AD26" s="1">
        <v>3.4000000000000002E-2</v>
      </c>
      <c r="AE26" s="1">
        <v>3.3799999999999997E-2</v>
      </c>
      <c r="AF26" s="1">
        <v>5.5</v>
      </c>
      <c r="AG26" s="1">
        <v>5.5E-2</v>
      </c>
      <c r="AH26" s="1">
        <v>5.5E-2</v>
      </c>
      <c r="AI26" s="1">
        <v>118</v>
      </c>
      <c r="AJ26" s="1" t="s">
        <v>47</v>
      </c>
      <c r="AK26" s="1" t="s">
        <v>82</v>
      </c>
    </row>
    <row r="27" spans="1:37" x14ac:dyDescent="0.3">
      <c r="A27" s="1" t="s">
        <v>37</v>
      </c>
      <c r="B27" s="1">
        <v>20240731</v>
      </c>
      <c r="C27" s="1">
        <v>24.352699999999999</v>
      </c>
      <c r="D27" s="1">
        <v>4.8872</v>
      </c>
      <c r="E27" s="1">
        <v>3.448</v>
      </c>
      <c r="F27" s="1">
        <v>7.68</v>
      </c>
      <c r="G27" s="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1">
        <v>2.9</v>
      </c>
      <c r="AD27" s="1">
        <v>3.1E-2</v>
      </c>
      <c r="AE27" s="1">
        <v>3.1E-2</v>
      </c>
      <c r="AF27" s="1">
        <v>5.5</v>
      </c>
      <c r="AG27" s="1">
        <v>5.5E-2</v>
      </c>
      <c r="AH27" s="1">
        <v>5.5E-2</v>
      </c>
      <c r="AI27" s="1">
        <v>144</v>
      </c>
      <c r="AJ27" s="1" t="s">
        <v>44</v>
      </c>
      <c r="AK27" s="1" t="s">
        <v>83</v>
      </c>
    </row>
    <row r="28" spans="1:37" x14ac:dyDescent="0.3">
      <c r="A28" s="1" t="s">
        <v>37</v>
      </c>
      <c r="B28" s="1">
        <v>20240830</v>
      </c>
      <c r="C28" s="1">
        <v>28.284700000000001</v>
      </c>
      <c r="D28" s="1">
        <v>5.6761999999999997</v>
      </c>
      <c r="E28" s="1">
        <v>4.0046999999999997</v>
      </c>
      <c r="F28" s="1">
        <v>8.92</v>
      </c>
      <c r="G28" s="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1">
        <v>2.5</v>
      </c>
      <c r="AD28" s="1">
        <v>0.03</v>
      </c>
      <c r="AE28" s="1">
        <v>2.9700000000000001E-2</v>
      </c>
      <c r="AF28" s="1">
        <v>5.5</v>
      </c>
      <c r="AG28" s="1">
        <v>5.5E-2</v>
      </c>
      <c r="AH28" s="1">
        <v>5.5E-2</v>
      </c>
      <c r="AI28" s="1">
        <v>78</v>
      </c>
      <c r="AJ28" s="1" t="s">
        <v>48</v>
      </c>
      <c r="AK28" s="1" t="s">
        <v>84</v>
      </c>
    </row>
    <row r="29" spans="1:37" x14ac:dyDescent="0.3">
      <c r="A29" s="1" t="s">
        <v>37</v>
      </c>
      <c r="B29" s="1">
        <v>20240930</v>
      </c>
      <c r="C29" s="1">
        <v>25.3674</v>
      </c>
      <c r="D29" s="1">
        <v>5.0907999999999998</v>
      </c>
      <c r="E29" s="1">
        <v>3.5916999999999999</v>
      </c>
      <c r="F29" s="1">
        <v>8</v>
      </c>
      <c r="G29" s="2">
        <v>26.870100000000001</v>
      </c>
      <c r="H29" s="3">
        <v>26.870100000000001</v>
      </c>
      <c r="I29" s="3">
        <v>41.136000000000003</v>
      </c>
      <c r="J29" s="3">
        <v>41.136000000000003</v>
      </c>
      <c r="K29" s="3">
        <v>1171.1590000000001</v>
      </c>
      <c r="L29" s="3">
        <v>1171.1590000000001</v>
      </c>
      <c r="M29" s="3">
        <v>2.9849999999999999</v>
      </c>
      <c r="N29" s="3">
        <v>2.9849999999999999</v>
      </c>
      <c r="O29" s="3">
        <v>10.9467</v>
      </c>
      <c r="P29" s="3">
        <v>10.9467</v>
      </c>
      <c r="Q29" s="3">
        <v>26.782</v>
      </c>
      <c r="R29" s="3">
        <v>26.782</v>
      </c>
      <c r="S29" s="3">
        <v>24.568000000000001</v>
      </c>
      <c r="T29" s="3">
        <v>24.568000000000001</v>
      </c>
      <c r="U29" s="3">
        <v>1612.8669</v>
      </c>
      <c r="V29" s="3">
        <v>1612.8669</v>
      </c>
      <c r="W29" s="3">
        <v>2367.9333000000001</v>
      </c>
      <c r="X29" s="3">
        <v>2367.9333000000001</v>
      </c>
      <c r="Y29" s="3">
        <v>1.127</v>
      </c>
      <c r="Z29" s="3">
        <v>1.127</v>
      </c>
      <c r="AA29" s="3">
        <v>672.779</v>
      </c>
      <c r="AB29" s="3"/>
      <c r="AC29" s="1">
        <v>2.4</v>
      </c>
      <c r="AD29" s="1">
        <v>2.5000000000000001E-2</v>
      </c>
      <c r="AE29" s="1">
        <v>2.5499999999999998E-2</v>
      </c>
      <c r="AF29" s="1">
        <v>5</v>
      </c>
      <c r="AG29" s="1">
        <v>5.2499999999999998E-2</v>
      </c>
      <c r="AH29" s="1">
        <v>5.2299999999999999E-2</v>
      </c>
      <c r="AI29" s="1">
        <v>223</v>
      </c>
      <c r="AJ29" s="1" t="s">
        <v>50</v>
      </c>
      <c r="AK29" s="1" t="s">
        <v>85</v>
      </c>
    </row>
    <row r="32" spans="1:37" x14ac:dyDescent="0.3">
      <c r="U32" t="s">
        <v>86</v>
      </c>
    </row>
    <row r="33" spans="5:28" x14ac:dyDescent="0.3">
      <c r="U33">
        <v>3677.5625</v>
      </c>
    </row>
    <row r="35" spans="5:28" x14ac:dyDescent="0.3">
      <c r="E35" s="4"/>
      <c r="F35" s="4"/>
      <c r="G35" s="4"/>
      <c r="H35" s="4"/>
      <c r="I35" s="4"/>
      <c r="J35" s="4"/>
      <c r="K35" s="4"/>
      <c r="L35" s="4"/>
      <c r="N35" s="4"/>
      <c r="O35" s="4"/>
      <c r="P35" s="4"/>
      <c r="Q35" s="4"/>
      <c r="R35" s="4"/>
      <c r="S35" s="4"/>
      <c r="T35" s="4"/>
      <c r="U35" s="2">
        <f>+U33-U23</f>
        <v>2.644800000000032</v>
      </c>
      <c r="V35" s="4"/>
      <c r="W35" s="4"/>
      <c r="X35" s="4"/>
      <c r="Y35" s="4"/>
      <c r="Z35" s="4"/>
      <c r="AA35" s="4"/>
    </row>
    <row r="36" spans="5:28" x14ac:dyDescent="0.3">
      <c r="L36" s="4"/>
      <c r="M36" s="4"/>
      <c r="N36" s="4"/>
      <c r="Z36" s="4"/>
      <c r="AA36" s="4"/>
      <c r="AB3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690A-C5AA-41BB-872F-BDCC914455DC}">
  <dimension ref="C2:AE30"/>
  <sheetViews>
    <sheetView topLeftCell="A13" workbookViewId="0">
      <selection activeCell="G32" sqref="G32"/>
    </sheetView>
  </sheetViews>
  <sheetFormatPr baseColWidth="10" defaultRowHeight="14.4" x14ac:dyDescent="0.3"/>
  <cols>
    <col min="7" max="10" width="11.6640625" bestFit="1" customWidth="1"/>
    <col min="11" max="12" width="12.44140625" bestFit="1" customWidth="1"/>
    <col min="13" max="20" width="11.6640625" bestFit="1" customWidth="1"/>
    <col min="21" max="24" width="12.44140625" bestFit="1" customWidth="1"/>
    <col min="25" max="28" width="11.6640625" bestFit="1" customWidth="1"/>
  </cols>
  <sheetData>
    <row r="2" spans="3:31" x14ac:dyDescent="0.3">
      <c r="C2" s="4">
        <f>+dataset!C2-'dataset (2)'!C2</f>
        <v>0</v>
      </c>
      <c r="D2" s="4">
        <f>+dataset!D2-'dataset (2)'!D2</f>
        <v>0</v>
      </c>
      <c r="E2" s="4">
        <f>+dataset!E2-'dataset (2)'!E2</f>
        <v>0</v>
      </c>
      <c r="F2" s="4">
        <f>+dataset!F2-'dataset (2)'!F2</f>
        <v>0</v>
      </c>
      <c r="G2" s="5">
        <f>+dataset!G2-'dataset (2)'!G2</f>
        <v>0</v>
      </c>
      <c r="H2" s="5">
        <f>+dataset!H2-'dataset (2)'!H2</f>
        <v>0</v>
      </c>
      <c r="I2" s="5">
        <f>+dataset!I2-'dataset (2)'!I2</f>
        <v>0</v>
      </c>
      <c r="J2" s="5">
        <f>+dataset!J2-'dataset (2)'!J2</f>
        <v>0</v>
      </c>
      <c r="K2" s="5">
        <f>+dataset!K2-'dataset (2)'!K2</f>
        <v>0</v>
      </c>
      <c r="L2" s="5">
        <f>+dataset!L2-'dataset (2)'!L2</f>
        <v>0</v>
      </c>
      <c r="M2" s="5">
        <f>+dataset!M2-'dataset (2)'!M2</f>
        <v>0</v>
      </c>
      <c r="N2" s="5">
        <f>+dataset!N2-'dataset (2)'!N2</f>
        <v>0</v>
      </c>
      <c r="O2" s="5">
        <f>+dataset!O2-'dataset (2)'!O2</f>
        <v>0</v>
      </c>
      <c r="P2" s="5">
        <f>+dataset!P2-'dataset (2)'!P2</f>
        <v>0</v>
      </c>
      <c r="Q2" s="5">
        <f>+dataset!Q2-'dataset (2)'!Q2</f>
        <v>0</v>
      </c>
      <c r="R2" s="5">
        <f>+dataset!R2-'dataset (2)'!R2</f>
        <v>0</v>
      </c>
      <c r="S2" s="5">
        <f>+dataset!S2-'dataset (2)'!S2</f>
        <v>0</v>
      </c>
      <c r="T2" s="5">
        <f>+dataset!T2-'dataset (2)'!T2</f>
        <v>0</v>
      </c>
      <c r="U2" s="5">
        <f>+dataset!U2-'dataset (2)'!U2</f>
        <v>0</v>
      </c>
      <c r="V2" s="5">
        <f>+dataset!V2-'dataset (2)'!V2</f>
        <v>0</v>
      </c>
      <c r="W2" s="5">
        <f>+dataset!W2-'dataset (2)'!W2</f>
        <v>0</v>
      </c>
      <c r="X2" s="5">
        <f>+dataset!X2-'dataset (2)'!X2</f>
        <v>0</v>
      </c>
      <c r="Y2" s="5">
        <f>+dataset!Y2-'dataset (2)'!Y2</f>
        <v>0</v>
      </c>
      <c r="Z2" s="5">
        <f>+dataset!Z2-'dataset (2)'!Z2</f>
        <v>0</v>
      </c>
      <c r="AA2" s="5">
        <f>+dataset!AA2-'dataset (2)'!AA2</f>
        <v>0</v>
      </c>
      <c r="AB2" s="5">
        <f>+dataset!AB2-'dataset (2)'!AB2</f>
        <v>0</v>
      </c>
      <c r="AC2" s="4">
        <f>+dataset!AC2-'dataset (2)'!AC2</f>
        <v>0</v>
      </c>
      <c r="AD2" s="4">
        <f>+dataset!AD2-'dataset (2)'!AD2</f>
        <v>0</v>
      </c>
      <c r="AE2" s="4">
        <f>+dataset!AE2-'dataset (2)'!AE2</f>
        <v>0</v>
      </c>
    </row>
    <row r="3" spans="3:31" x14ac:dyDescent="0.3">
      <c r="C3" s="4">
        <f>+dataset!C3-'dataset (2)'!C3</f>
        <v>0</v>
      </c>
      <c r="D3" s="4">
        <f>+dataset!D3-'dataset (2)'!D3</f>
        <v>0</v>
      </c>
      <c r="E3" s="4">
        <f>+dataset!E3-'dataset (2)'!E3</f>
        <v>0</v>
      </c>
      <c r="F3" s="4">
        <f>+dataset!F3-'dataset (2)'!F3</f>
        <v>0</v>
      </c>
      <c r="G3" s="5">
        <f>+dataset!G3-'dataset (2)'!G3</f>
        <v>2.5790164730921106E-3</v>
      </c>
      <c r="H3" s="5">
        <f>+dataset!H3-'dataset (2)'!H3</f>
        <v>0</v>
      </c>
      <c r="I3" s="5">
        <f>+dataset!I3-'dataset (2)'!I3</f>
        <v>-3.4278433248566387</v>
      </c>
      <c r="J3" s="5">
        <f>+dataset!J3-'dataset (2)'!J3</f>
        <v>0</v>
      </c>
      <c r="K3" s="5">
        <f>+dataset!K3-'dataset (2)'!K3</f>
        <v>-28.848966370166522</v>
      </c>
      <c r="L3" s="5">
        <f>+dataset!L3-'dataset (2)'!L3</f>
        <v>0</v>
      </c>
      <c r="M3" s="5">
        <f>+dataset!M3-'dataset (2)'!M3</f>
        <v>-2.2118301341293112E-2</v>
      </c>
      <c r="N3" s="5">
        <f>+dataset!N3-'dataset (2)'!N3</f>
        <v>0</v>
      </c>
      <c r="O3" s="5">
        <f>+dataset!O3-'dataset (2)'!O3</f>
        <v>9.7095775699074238E-4</v>
      </c>
      <c r="P3" s="5">
        <f>+dataset!P3-'dataset (2)'!P3</f>
        <v>0</v>
      </c>
      <c r="Q3" s="5">
        <f>+dataset!Q3-'dataset (2)'!Q3</f>
        <v>-4.2724915245940167</v>
      </c>
      <c r="R3" s="5">
        <f>+dataset!R3-'dataset (2)'!R3</f>
        <v>0</v>
      </c>
      <c r="S3" s="5">
        <f>+dataset!S3-'dataset (2)'!S3</f>
        <v>1.900995111249415E-3</v>
      </c>
      <c r="T3" s="5">
        <f>+dataset!T3-'dataset (2)'!T3</f>
        <v>0</v>
      </c>
      <c r="U3" s="5">
        <f>+dataset!U3-'dataset (2)'!U3</f>
        <v>-418.18671736035594</v>
      </c>
      <c r="V3" s="5">
        <f>+dataset!V3-'dataset (2)'!V3</f>
        <v>0</v>
      </c>
      <c r="W3" s="5">
        <f>+dataset!W3-'dataset (2)'!W3</f>
        <v>-174.85605850880347</v>
      </c>
      <c r="X3" s="5">
        <f>+dataset!X3-'dataset (2)'!X3</f>
        <v>0</v>
      </c>
      <c r="Y3" s="5">
        <f>+dataset!Y3-'dataset (2)'!Y3</f>
        <v>-2.3079232928173106</v>
      </c>
      <c r="Z3" s="5">
        <f>+dataset!Z3-'dataset (2)'!Z3</f>
        <v>0</v>
      </c>
      <c r="AA3" s="5">
        <f>+dataset!AA3-'dataset (2)'!AA3</f>
        <v>-35.102890455252009</v>
      </c>
      <c r="AB3" s="5">
        <f>+dataset!AB3-'dataset (2)'!AB3</f>
        <v>0</v>
      </c>
      <c r="AC3" s="4">
        <f>+dataset!AC3-'dataset (2)'!AC3</f>
        <v>0</v>
      </c>
      <c r="AD3" s="4">
        <f>+dataset!AD3-'dataset (2)'!AD3</f>
        <v>0</v>
      </c>
      <c r="AE3" s="4">
        <f>+dataset!AE3-'dataset (2)'!AE3</f>
        <v>0</v>
      </c>
    </row>
    <row r="4" spans="3:31" x14ac:dyDescent="0.3">
      <c r="C4" s="4">
        <f>+dataset!C4-'dataset (2)'!C4</f>
        <v>0</v>
      </c>
      <c r="D4" s="4">
        <f>+dataset!D4-'dataset (2)'!D4</f>
        <v>0</v>
      </c>
      <c r="E4" s="4">
        <f>+dataset!E4-'dataset (2)'!E4</f>
        <v>0</v>
      </c>
      <c r="F4" s="4">
        <f>+dataset!F4-'dataset (2)'!F4</f>
        <v>0</v>
      </c>
      <c r="G4" s="5">
        <f>+dataset!G4-'dataset (2)'!G4</f>
        <v>2.063213178466583E-3</v>
      </c>
      <c r="H4" s="5">
        <f>+dataset!H4-'dataset (2)'!H4</f>
        <v>0</v>
      </c>
      <c r="I4" s="5">
        <f>+dataset!I4-'dataset (2)'!I4</f>
        <v>-2.3212877454829268</v>
      </c>
      <c r="J4" s="5">
        <f>+dataset!J4-'dataset (2)'!J4</f>
        <v>0</v>
      </c>
      <c r="K4" s="5">
        <f>+dataset!K4-'dataset (2)'!K4</f>
        <v>-19.535242711512637</v>
      </c>
      <c r="L4" s="5">
        <f>+dataset!L4-'dataset (2)'!L4</f>
        <v>0</v>
      </c>
      <c r="M4" s="5">
        <f>+dataset!M4-'dataset (2)'!M4</f>
        <v>-1.4984940740072172E-2</v>
      </c>
      <c r="N4" s="5">
        <f>+dataset!N4-'dataset (2)'!N4</f>
        <v>0</v>
      </c>
      <c r="O4" s="5">
        <f>+dataset!O4-'dataset (2)'!O4</f>
        <v>7.7676620559330445E-4</v>
      </c>
      <c r="P4" s="5">
        <f>+dataset!P4-'dataset (2)'!P4</f>
        <v>0</v>
      </c>
      <c r="Q4" s="5">
        <f>+dataset!Q4-'dataset (2)'!Q4</f>
        <v>-2.8930649465396954</v>
      </c>
      <c r="R4" s="5">
        <f>+dataset!R4-'dataset (2)'!R4</f>
        <v>0</v>
      </c>
      <c r="S4" s="5">
        <f>+dataset!S4-'dataset (2)'!S4</f>
        <v>1.5207960890037953E-3</v>
      </c>
      <c r="T4" s="5">
        <f>+dataset!T4-'dataset (2)'!T4</f>
        <v>0</v>
      </c>
      <c r="U4" s="5">
        <f>+dataset!U4-'dataset (2)'!U4</f>
        <v>-283.2619938257485</v>
      </c>
      <c r="V4" s="5">
        <f>+dataset!V4-'dataset (2)'!V4</f>
        <v>0</v>
      </c>
      <c r="W4" s="5">
        <f>+dataset!W4-'dataset (2)'!W4</f>
        <v>-118.43104476034841</v>
      </c>
      <c r="X4" s="5">
        <f>+dataset!X4-'dataset (2)'!X4</f>
        <v>0</v>
      </c>
      <c r="Y4" s="5">
        <f>+dataset!Y4-'dataset (2)'!Y4</f>
        <v>-1.5629770595974399</v>
      </c>
      <c r="Z4" s="5">
        <f>+dataset!Z4-'dataset (2)'!Z4</f>
        <v>0</v>
      </c>
      <c r="AA4" s="5">
        <f>+dataset!AA4-'dataset (2)'!AA4</f>
        <v>-23.772730592507742</v>
      </c>
      <c r="AB4" s="5">
        <f>+dataset!AB4-'dataset (2)'!AB4</f>
        <v>0</v>
      </c>
      <c r="AC4" s="4">
        <f>+dataset!AC4-'dataset (2)'!AC4</f>
        <v>0</v>
      </c>
      <c r="AD4" s="4">
        <f>+dataset!AD4-'dataset (2)'!AD4</f>
        <v>0</v>
      </c>
      <c r="AE4" s="4">
        <f>+dataset!AE4-'dataset (2)'!AE4</f>
        <v>0</v>
      </c>
    </row>
    <row r="5" spans="3:31" x14ac:dyDescent="0.3">
      <c r="C5" s="4">
        <f>+dataset!C5-'dataset (2)'!C5</f>
        <v>0</v>
      </c>
      <c r="D5" s="4">
        <f>+dataset!D5-'dataset (2)'!D5</f>
        <v>0</v>
      </c>
      <c r="E5" s="4">
        <f>+dataset!E5-'dataset (2)'!E5</f>
        <v>0</v>
      </c>
      <c r="F5" s="4">
        <f>+dataset!F5-'dataset (2)'!F5</f>
        <v>0</v>
      </c>
      <c r="G5" s="5">
        <f>+dataset!G5-'dataset (2)'!G5</f>
        <v>0</v>
      </c>
      <c r="H5" s="5">
        <f>+dataset!H5-'dataset (2)'!H5</f>
        <v>0</v>
      </c>
      <c r="I5" s="5">
        <f>+dataset!I5-'dataset (2)'!I5</f>
        <v>0</v>
      </c>
      <c r="J5" s="5">
        <f>+dataset!J5-'dataset (2)'!J5</f>
        <v>0</v>
      </c>
      <c r="K5" s="5">
        <f>+dataset!K5-'dataset (2)'!K5</f>
        <v>0</v>
      </c>
      <c r="L5" s="5">
        <f>+dataset!L5-'dataset (2)'!L5</f>
        <v>0</v>
      </c>
      <c r="M5" s="5">
        <f>+dataset!M5-'dataset (2)'!M5</f>
        <v>0</v>
      </c>
      <c r="N5" s="5">
        <f>+dataset!N5-'dataset (2)'!N5</f>
        <v>0</v>
      </c>
      <c r="O5" s="5">
        <f>+dataset!O5-'dataset (2)'!O5</f>
        <v>0</v>
      </c>
      <c r="P5" s="5">
        <f>+dataset!P5-'dataset (2)'!P5</f>
        <v>0</v>
      </c>
      <c r="Q5" s="5">
        <f>+dataset!Q5-'dataset (2)'!Q5</f>
        <v>0</v>
      </c>
      <c r="R5" s="5">
        <f>+dataset!R5-'dataset (2)'!R5</f>
        <v>0</v>
      </c>
      <c r="S5" s="5">
        <f>+dataset!S5-'dataset (2)'!S5</f>
        <v>0</v>
      </c>
      <c r="T5" s="5">
        <f>+dataset!T5-'dataset (2)'!T5</f>
        <v>0</v>
      </c>
      <c r="U5" s="5">
        <f>+dataset!U5-'dataset (2)'!U5</f>
        <v>0</v>
      </c>
      <c r="V5" s="5">
        <f>+dataset!V5-'dataset (2)'!V5</f>
        <v>0</v>
      </c>
      <c r="W5" s="5">
        <f>+dataset!W5-'dataset (2)'!W5</f>
        <v>0</v>
      </c>
      <c r="X5" s="5">
        <f>+dataset!X5-'dataset (2)'!X5</f>
        <v>0</v>
      </c>
      <c r="Y5" s="5">
        <f>+dataset!Y5-'dataset (2)'!Y5</f>
        <v>0</v>
      </c>
      <c r="Z5" s="5">
        <f>+dataset!Z5-'dataset (2)'!Z5</f>
        <v>0</v>
      </c>
      <c r="AA5" s="5">
        <f>+dataset!AA5-'dataset (2)'!AA5</f>
        <v>0</v>
      </c>
      <c r="AB5" s="5">
        <f>+dataset!AB5-'dataset (2)'!AB5</f>
        <v>0</v>
      </c>
      <c r="AC5" s="4">
        <f>+dataset!AC5-'dataset (2)'!AC5</f>
        <v>0</v>
      </c>
      <c r="AD5" s="4">
        <f>+dataset!AD5-'dataset (2)'!AD5</f>
        <v>0</v>
      </c>
      <c r="AE5" s="4">
        <f>+dataset!AE5-'dataset (2)'!AE5</f>
        <v>0</v>
      </c>
    </row>
    <row r="6" spans="3:31" x14ac:dyDescent="0.3">
      <c r="C6" s="4">
        <f>+dataset!C6-'dataset (2)'!C6</f>
        <v>0</v>
      </c>
      <c r="D6" s="4">
        <f>+dataset!D6-'dataset (2)'!D6</f>
        <v>0</v>
      </c>
      <c r="E6" s="4">
        <f>+dataset!E6-'dataset (2)'!E6</f>
        <v>0</v>
      </c>
      <c r="F6" s="4">
        <f>+dataset!F6-'dataset (2)'!F6</f>
        <v>0</v>
      </c>
      <c r="G6" s="5">
        <f>+dataset!G6-'dataset (2)'!G6</f>
        <v>-2.0632131784594776E-3</v>
      </c>
      <c r="H6" s="5">
        <f>+dataset!H6-'dataset (2)'!H6</f>
        <v>0</v>
      </c>
      <c r="I6" s="5">
        <f>+dataset!I6-'dataset (2)'!I6</f>
        <v>0.91799803080834153</v>
      </c>
      <c r="J6" s="5">
        <f>+dataset!J6-'dataset (2)'!J6</f>
        <v>0</v>
      </c>
      <c r="K6" s="5">
        <f>+dataset!K6-'dataset (2)'!K6</f>
        <v>7.7221414294440365</v>
      </c>
      <c r="L6" s="5">
        <f>+dataset!L6-'dataset (2)'!L6</f>
        <v>0</v>
      </c>
      <c r="M6" s="5">
        <f>+dataset!M6-'dataset (2)'!M6</f>
        <v>5.952606296860008E-3</v>
      </c>
      <c r="N6" s="5">
        <f>+dataset!N6-'dataset (2)'!N6</f>
        <v>0</v>
      </c>
      <c r="O6" s="5">
        <f>+dataset!O6-'dataset (2)'!O6</f>
        <v>-7.7676620558975173E-4</v>
      </c>
      <c r="P6" s="5">
        <f>+dataset!P6-'dataset (2)'!P6</f>
        <v>0</v>
      </c>
      <c r="Q6" s="5">
        <f>+dataset!Q6-'dataset (2)'!Q6</f>
        <v>1.1433040360878692</v>
      </c>
      <c r="R6" s="5">
        <f>+dataset!R6-'dataset (2)'!R6</f>
        <v>0</v>
      </c>
      <c r="S6" s="5">
        <f>+dataset!S6-'dataset (2)'!S6</f>
        <v>-1.5207960889966898E-3</v>
      </c>
      <c r="T6" s="5">
        <f>+dataset!T6-'dataset (2)'!T6</f>
        <v>0</v>
      </c>
      <c r="U6" s="5">
        <f>+dataset!U6-'dataset (2)'!U6</f>
        <v>112.30406028396101</v>
      </c>
      <c r="V6" s="5">
        <f>+dataset!V6-'dataset (2)'!V6</f>
        <v>0</v>
      </c>
      <c r="W6" s="5">
        <f>+dataset!W6-'dataset (2)'!W6</f>
        <v>46.918371271363867</v>
      </c>
      <c r="X6" s="5">
        <f>+dataset!X6-'dataset (2)'!X6</f>
        <v>0</v>
      </c>
      <c r="Y6" s="5">
        <f>+dataset!Y6-'dataset (2)'!Y6</f>
        <v>0.61843847740938074</v>
      </c>
      <c r="Z6" s="5">
        <f>+dataset!Z6-'dataset (2)'!Z6</f>
        <v>0</v>
      </c>
      <c r="AA6" s="5">
        <f>+dataset!AA6-'dataset (2)'!AA6</f>
        <v>9.4074580201945537</v>
      </c>
      <c r="AB6" s="5">
        <f>+dataset!AB6-'dataset (2)'!AB6</f>
        <v>0</v>
      </c>
      <c r="AC6" s="4">
        <f>+dataset!AC6-'dataset (2)'!AC6</f>
        <v>0</v>
      </c>
      <c r="AD6" s="4">
        <f>+dataset!AD6-'dataset (2)'!AD6</f>
        <v>0</v>
      </c>
      <c r="AE6" s="4">
        <f>+dataset!AE6-'dataset (2)'!AE6</f>
        <v>0</v>
      </c>
    </row>
    <row r="7" spans="3:31" x14ac:dyDescent="0.3">
      <c r="C7" s="4">
        <f>+dataset!C7-'dataset (2)'!C7</f>
        <v>0</v>
      </c>
      <c r="D7" s="4">
        <f>+dataset!D7-'dataset (2)'!D7</f>
        <v>0</v>
      </c>
      <c r="E7" s="4">
        <f>+dataset!E7-'dataset (2)'!E7</f>
        <v>0</v>
      </c>
      <c r="F7" s="4">
        <f>+dataset!F7-'dataset (2)'!F7</f>
        <v>0</v>
      </c>
      <c r="G7" s="5">
        <f>+dataset!G7-'dataset (2)'!G7</f>
        <v>-2.5790164730850051E-3</v>
      </c>
      <c r="H7" s="5">
        <f>+dataset!H7-'dataset (2)'!H7</f>
        <v>0</v>
      </c>
      <c r="I7" s="5">
        <f>+dataset!I7-'dataset (2)'!I7</f>
        <v>0.62126389550745031</v>
      </c>
      <c r="J7" s="5">
        <f>+dataset!J7-'dataset (2)'!J7</f>
        <v>0</v>
      </c>
      <c r="K7" s="5">
        <f>+dataset!K7-'dataset (2)'!K7</f>
        <v>5.2227638060289792</v>
      </c>
      <c r="L7" s="5">
        <f>+dataset!L7-'dataset (2)'!L7</f>
        <v>0</v>
      </c>
      <c r="M7" s="5">
        <f>+dataset!M7-'dataset (2)'!M7</f>
        <v>4.0536324548701153E-3</v>
      </c>
      <c r="N7" s="5">
        <f>+dataset!N7-'dataset (2)'!N7</f>
        <v>0</v>
      </c>
      <c r="O7" s="5">
        <f>+dataset!O7-'dataset (2)'!O7</f>
        <v>-9.7095775698896603E-4</v>
      </c>
      <c r="P7" s="5">
        <f>+dataset!P7-'dataset (2)'!P7</f>
        <v>0</v>
      </c>
      <c r="Q7" s="5">
        <f>+dataset!Q7-'dataset (2)'!Q7</f>
        <v>0.77296970369041063</v>
      </c>
      <c r="R7" s="5">
        <f>+dataset!R7-'dataset (2)'!R7</f>
        <v>0</v>
      </c>
      <c r="S7" s="5">
        <f>+dataset!S7-'dataset (2)'!S7</f>
        <v>-1.9009951112565204E-3</v>
      </c>
      <c r="T7" s="5">
        <f>+dataset!T7-'dataset (2)'!T7</f>
        <v>0</v>
      </c>
      <c r="U7" s="5">
        <f>+dataset!U7-'dataset (2)'!U7</f>
        <v>76.270850276778219</v>
      </c>
      <c r="V7" s="5">
        <f>+dataset!V7-'dataset (2)'!V7</f>
        <v>0</v>
      </c>
      <c r="W7" s="5">
        <f>+dataset!W7-'dataset (2)'!W7</f>
        <v>31.830711530833469</v>
      </c>
      <c r="X7" s="5">
        <f>+dataset!X7-'dataset (2)'!X7</f>
        <v>0</v>
      </c>
      <c r="Y7" s="5">
        <f>+dataset!Y7-'dataset (2)'!Y7</f>
        <v>0.4188461284411984</v>
      </c>
      <c r="Z7" s="5">
        <f>+dataset!Z7-'dataset (2)'!Z7</f>
        <v>0</v>
      </c>
      <c r="AA7" s="5">
        <f>+dataset!AA7-'dataset (2)'!AA7</f>
        <v>6.3723453106255192</v>
      </c>
      <c r="AB7" s="5">
        <f>+dataset!AB7-'dataset (2)'!AB7</f>
        <v>0</v>
      </c>
      <c r="AC7" s="4">
        <f>+dataset!AC7-'dataset (2)'!AC7</f>
        <v>0</v>
      </c>
      <c r="AD7" s="4">
        <f>+dataset!AD7-'dataset (2)'!AD7</f>
        <v>0</v>
      </c>
      <c r="AE7" s="4">
        <f>+dataset!AE7-'dataset (2)'!AE7</f>
        <v>0</v>
      </c>
    </row>
    <row r="8" spans="3:31" x14ac:dyDescent="0.3">
      <c r="C8" s="4">
        <f>+dataset!C8-'dataset (2)'!C8</f>
        <v>0</v>
      </c>
      <c r="D8" s="4">
        <f>+dataset!D8-'dataset (2)'!D8</f>
        <v>0</v>
      </c>
      <c r="E8" s="4">
        <f>+dataset!E8-'dataset (2)'!E8</f>
        <v>0</v>
      </c>
      <c r="F8" s="4">
        <f>+dataset!F8-'dataset (2)'!F8</f>
        <v>0</v>
      </c>
      <c r="G8" s="5">
        <f>+dataset!G8-'dataset (2)'!G8</f>
        <v>0</v>
      </c>
      <c r="H8" s="5">
        <f>+dataset!H8-'dataset (2)'!H8</f>
        <v>0</v>
      </c>
      <c r="I8" s="5">
        <f>+dataset!I8-'dataset (2)'!I8</f>
        <v>0</v>
      </c>
      <c r="J8" s="5">
        <f>+dataset!J8-'dataset (2)'!J8</f>
        <v>0</v>
      </c>
      <c r="K8" s="5">
        <f>+dataset!K8-'dataset (2)'!K8</f>
        <v>0</v>
      </c>
      <c r="L8" s="5">
        <f>+dataset!L8-'dataset (2)'!L8</f>
        <v>0</v>
      </c>
      <c r="M8" s="5">
        <f>+dataset!M8-'dataset (2)'!M8</f>
        <v>0</v>
      </c>
      <c r="N8" s="5">
        <f>+dataset!N8-'dataset (2)'!N8</f>
        <v>0</v>
      </c>
      <c r="O8" s="5">
        <f>+dataset!O8-'dataset (2)'!O8</f>
        <v>0</v>
      </c>
      <c r="P8" s="5">
        <f>+dataset!P8-'dataset (2)'!P8</f>
        <v>0</v>
      </c>
      <c r="Q8" s="5">
        <f>+dataset!Q8-'dataset (2)'!Q8</f>
        <v>0</v>
      </c>
      <c r="R8" s="5">
        <f>+dataset!R8-'dataset (2)'!R8</f>
        <v>0</v>
      </c>
      <c r="S8" s="5">
        <f>+dataset!S8-'dataset (2)'!S8</f>
        <v>0</v>
      </c>
      <c r="T8" s="5">
        <f>+dataset!T8-'dataset (2)'!T8</f>
        <v>0</v>
      </c>
      <c r="U8" s="5">
        <f>+dataset!U8-'dataset (2)'!U8</f>
        <v>0</v>
      </c>
      <c r="V8" s="5">
        <f>+dataset!V8-'dataset (2)'!V8</f>
        <v>0</v>
      </c>
      <c r="W8" s="5">
        <f>+dataset!W8-'dataset (2)'!W8</f>
        <v>0</v>
      </c>
      <c r="X8" s="5">
        <f>+dataset!X8-'dataset (2)'!X8</f>
        <v>0</v>
      </c>
      <c r="Y8" s="5">
        <f>+dataset!Y8-'dataset (2)'!Y8</f>
        <v>0</v>
      </c>
      <c r="Z8" s="5">
        <f>+dataset!Z8-'dataset (2)'!Z8</f>
        <v>0</v>
      </c>
      <c r="AA8" s="5">
        <f>+dataset!AA8-'dataset (2)'!AA8</f>
        <v>0</v>
      </c>
      <c r="AB8" s="5">
        <f>+dataset!AB8-'dataset (2)'!AB8</f>
        <v>0</v>
      </c>
      <c r="AC8" s="4">
        <f>+dataset!AC8-'dataset (2)'!AC8</f>
        <v>0</v>
      </c>
      <c r="AD8" s="4">
        <f>+dataset!AD8-'dataset (2)'!AD8</f>
        <v>0</v>
      </c>
      <c r="AE8" s="4">
        <f>+dataset!AE8-'dataset (2)'!AE8</f>
        <v>0</v>
      </c>
    </row>
    <row r="9" spans="3:31" x14ac:dyDescent="0.3">
      <c r="C9" s="4">
        <f>+dataset!C9-'dataset (2)'!C9</f>
        <v>0</v>
      </c>
      <c r="D9" s="4">
        <f>+dataset!D9-'dataset (2)'!D9</f>
        <v>0</v>
      </c>
      <c r="E9" s="4">
        <f>+dataset!E9-'dataset (2)'!E9</f>
        <v>0</v>
      </c>
      <c r="F9" s="4">
        <f>+dataset!F9-'dataset (2)'!F9</f>
        <v>0</v>
      </c>
      <c r="G9" s="5">
        <f>+dataset!G9-'dataset (2)'!G9</f>
        <v>5.6738362407990905E-3</v>
      </c>
      <c r="H9" s="5">
        <f>+dataset!H9-'dataset (2)'!H9</f>
        <v>0</v>
      </c>
      <c r="I9" s="5">
        <f>+dataset!I9-'dataset (2)'!I9</f>
        <v>-0.2441487983766919</v>
      </c>
      <c r="J9" s="5">
        <f>+dataset!J9-'dataset (2)'!J9</f>
        <v>0</v>
      </c>
      <c r="K9" s="5">
        <f>+dataset!K9-'dataset (2)'!K9</f>
        <v>-2.0395993476087142</v>
      </c>
      <c r="L9" s="5">
        <f>+dataset!L9-'dataset (2)'!L9</f>
        <v>0</v>
      </c>
      <c r="M9" s="5">
        <f>+dataset!M9-'dataset (2)'!M9</f>
        <v>-1.6921238461469201E-3</v>
      </c>
      <c r="N9" s="5">
        <f>+dataset!N9-'dataset (2)'!N9</f>
        <v>0</v>
      </c>
      <c r="O9" s="5">
        <f>+dataset!O9-'dataset (2)'!O9</f>
        <v>2.1361070653806991E-3</v>
      </c>
      <c r="P9" s="5">
        <f>+dataset!P9-'dataset (2)'!P9</f>
        <v>0</v>
      </c>
      <c r="Q9" s="5">
        <f>+dataset!Q9-'dataset (2)'!Q9</f>
        <v>-0.30072461975746023</v>
      </c>
      <c r="R9" s="5">
        <f>+dataset!R9-'dataset (2)'!R9</f>
        <v>0</v>
      </c>
      <c r="S9" s="5">
        <f>+dataset!S9-'dataset (2)'!S9</f>
        <v>4.1821892447480025E-3</v>
      </c>
      <c r="T9" s="5">
        <f>+dataset!T9-'dataset (2)'!T9</f>
        <v>0</v>
      </c>
      <c r="U9" s="5">
        <f>+dataset!U9-'dataset (2)'!U9</f>
        <v>-31.029523775481266</v>
      </c>
      <c r="V9" s="5">
        <f>+dataset!V9-'dataset (2)'!V9</f>
        <v>0</v>
      </c>
      <c r="W9" s="5">
        <f>+dataset!W9-'dataset (2)'!W9</f>
        <v>-12.817426576647449</v>
      </c>
      <c r="X9" s="5">
        <f>+dataset!X9-'dataset (2)'!X9</f>
        <v>0</v>
      </c>
      <c r="Y9" s="5">
        <f>+dataset!Y9-'dataset (2)'!Y9</f>
        <v>-0.16583061682019273</v>
      </c>
      <c r="Z9" s="5">
        <f>+dataset!Z9-'dataset (2)'!Z9</f>
        <v>0</v>
      </c>
      <c r="AA9" s="5">
        <f>+dataset!AA9-'dataset (2)'!AA9</f>
        <v>-2.52694162552541</v>
      </c>
      <c r="AB9" s="5">
        <f>+dataset!AB9-'dataset (2)'!AB9</f>
        <v>0</v>
      </c>
      <c r="AC9" s="4">
        <f>+dataset!AC9-'dataset (2)'!AC9</f>
        <v>0</v>
      </c>
      <c r="AD9" s="4">
        <f>+dataset!AD9-'dataset (2)'!AD9</f>
        <v>0</v>
      </c>
      <c r="AE9" s="4">
        <f>+dataset!AE9-'dataset (2)'!AE9</f>
        <v>0</v>
      </c>
    </row>
    <row r="10" spans="3:31" x14ac:dyDescent="0.3">
      <c r="C10" s="4">
        <f>+dataset!C10-'dataset (2)'!C10</f>
        <v>0</v>
      </c>
      <c r="D10" s="4">
        <f>+dataset!D10-'dataset (2)'!D10</f>
        <v>0</v>
      </c>
      <c r="E10" s="4">
        <f>+dataset!E10-'dataset (2)'!E10</f>
        <v>0</v>
      </c>
      <c r="F10" s="4">
        <f>+dataset!F10-'dataset (2)'!F10</f>
        <v>0</v>
      </c>
      <c r="G10" s="5">
        <f>+dataset!G10-'dataset (2)'!G10</f>
        <v>8.2528527138947538E-3</v>
      </c>
      <c r="H10" s="5">
        <f>+dataset!H10-'dataset (2)'!H10</f>
        <v>0</v>
      </c>
      <c r="I10" s="5">
        <f>+dataset!I10-'dataset (2)'!I10</f>
        <v>-0.16376783654685312</v>
      </c>
      <c r="J10" s="5">
        <f>+dataset!J10-'dataset (2)'!J10</f>
        <v>0</v>
      </c>
      <c r="K10" s="5">
        <f>+dataset!K10-'dataset (2)'!K10</f>
        <v>-1.3558125126029381</v>
      </c>
      <c r="L10" s="5">
        <f>+dataset!L10-'dataset (2)'!L10</f>
        <v>0</v>
      </c>
      <c r="M10" s="5">
        <f>+dataset!M10-'dataset (2)'!M10</f>
        <v>-1.2295890794118414E-3</v>
      </c>
      <c r="N10" s="5">
        <f>+dataset!N10-'dataset (2)'!N10</f>
        <v>0</v>
      </c>
      <c r="O10" s="5">
        <f>+dataset!O10-'dataset (2)'!O10</f>
        <v>3.1070648223714414E-3</v>
      </c>
      <c r="P10" s="5">
        <f>+dataset!P10-'dataset (2)'!P10</f>
        <v>0</v>
      </c>
      <c r="Q10" s="5">
        <f>+dataset!Q10-'dataset (2)'!Q10</f>
        <v>-0.19881386822196134</v>
      </c>
      <c r="R10" s="5">
        <f>+dataset!R10-'dataset (2)'!R10</f>
        <v>0</v>
      </c>
      <c r="S10" s="5">
        <f>+dataset!S10-'dataset (2)'!S10</f>
        <v>6.083184356015181E-3</v>
      </c>
      <c r="T10" s="5">
        <f>+dataset!T10-'dataset (2)'!T10</f>
        <v>0</v>
      </c>
      <c r="U10" s="5">
        <f>+dataset!U10-'dataset (2)'!U10</f>
        <v>-21.821407281363008</v>
      </c>
      <c r="V10" s="5">
        <f>+dataset!V10-'dataset (2)'!V10</f>
        <v>0</v>
      </c>
      <c r="W10" s="5">
        <f>+dataset!W10-'dataset (2)'!W10</f>
        <v>-8.8918013629900088</v>
      </c>
      <c r="X10" s="5">
        <f>+dataset!X10-'dataset (2)'!X10</f>
        <v>0</v>
      </c>
      <c r="Y10" s="5">
        <f>+dataset!Y10-'dataset (2)'!Y10</f>
        <v>-0.11240745416736261</v>
      </c>
      <c r="Z10" s="5">
        <f>+dataset!Z10-'dataset (2)'!Z10</f>
        <v>0</v>
      </c>
      <c r="AA10" s="5">
        <f>+dataset!AA10-'dataset (2)'!AA10</f>
        <v>-1.7166506499943353</v>
      </c>
      <c r="AB10" s="5">
        <f>+dataset!AB10-'dataset (2)'!AB10</f>
        <v>0</v>
      </c>
      <c r="AC10" s="4">
        <f>+dataset!AC10-'dataset (2)'!AC10</f>
        <v>0</v>
      </c>
      <c r="AD10" s="4">
        <f>+dataset!AD10-'dataset (2)'!AD10</f>
        <v>0</v>
      </c>
      <c r="AE10" s="4">
        <f>+dataset!AE10-'dataset (2)'!AE10</f>
        <v>0</v>
      </c>
    </row>
    <row r="11" spans="3:31" x14ac:dyDescent="0.3">
      <c r="C11" s="4">
        <f>+dataset!C11-'dataset (2)'!C11</f>
        <v>0</v>
      </c>
      <c r="D11" s="4">
        <f>+dataset!D11-'dataset (2)'!D11</f>
        <v>0</v>
      </c>
      <c r="E11" s="4">
        <f>+dataset!E11-'dataset (2)'!E11</f>
        <v>0</v>
      </c>
      <c r="F11" s="4">
        <f>+dataset!F11-'dataset (2)'!F11</f>
        <v>0</v>
      </c>
      <c r="G11" s="5">
        <f>+dataset!G11-'dataset (2)'!G11</f>
        <v>0</v>
      </c>
      <c r="H11" s="5">
        <f>+dataset!H11-'dataset (2)'!H11</f>
        <v>0</v>
      </c>
      <c r="I11" s="5">
        <f>+dataset!I11-'dataset (2)'!I11</f>
        <v>0</v>
      </c>
      <c r="J11" s="5">
        <f>+dataset!J11-'dataset (2)'!J11</f>
        <v>0</v>
      </c>
      <c r="K11" s="5">
        <f>+dataset!K11-'dataset (2)'!K11</f>
        <v>0</v>
      </c>
      <c r="L11" s="5">
        <f>+dataset!L11-'dataset (2)'!L11</f>
        <v>0</v>
      </c>
      <c r="M11" s="5">
        <f>+dataset!M11-'dataset (2)'!M11</f>
        <v>0</v>
      </c>
      <c r="N11" s="5">
        <f>+dataset!N11-'dataset (2)'!N11</f>
        <v>0</v>
      </c>
      <c r="O11" s="5">
        <f>+dataset!O11-'dataset (2)'!O11</f>
        <v>0</v>
      </c>
      <c r="P11" s="5">
        <f>+dataset!P11-'dataset (2)'!P11</f>
        <v>0</v>
      </c>
      <c r="Q11" s="5">
        <f>+dataset!Q11-'dataset (2)'!Q11</f>
        <v>0</v>
      </c>
      <c r="R11" s="5">
        <f>+dataset!R11-'dataset (2)'!R11</f>
        <v>0</v>
      </c>
      <c r="S11" s="5">
        <f>+dataset!S11-'dataset (2)'!S11</f>
        <v>0</v>
      </c>
      <c r="T11" s="5">
        <f>+dataset!T11-'dataset (2)'!T11</f>
        <v>0</v>
      </c>
      <c r="U11" s="5">
        <f>+dataset!U11-'dataset (2)'!U11</f>
        <v>0</v>
      </c>
      <c r="V11" s="5">
        <f>+dataset!V11-'dataset (2)'!V11</f>
        <v>0</v>
      </c>
      <c r="W11" s="5">
        <f>+dataset!W11-'dataset (2)'!W11</f>
        <v>0</v>
      </c>
      <c r="X11" s="5">
        <f>+dataset!X11-'dataset (2)'!X11</f>
        <v>0</v>
      </c>
      <c r="Y11" s="5">
        <f>+dataset!Y11-'dataset (2)'!Y11</f>
        <v>0</v>
      </c>
      <c r="Z11" s="5">
        <f>+dataset!Z11-'dataset (2)'!Z11</f>
        <v>0</v>
      </c>
      <c r="AA11" s="5">
        <f>+dataset!AA11-'dataset (2)'!AA11</f>
        <v>0</v>
      </c>
      <c r="AB11" s="5">
        <f>+dataset!AB11-'dataset (2)'!AB11</f>
        <v>0</v>
      </c>
      <c r="AC11" s="4">
        <f>+dataset!AC11-'dataset (2)'!AC11</f>
        <v>0</v>
      </c>
      <c r="AD11" s="4">
        <f>+dataset!AD11-'dataset (2)'!AD11</f>
        <v>0</v>
      </c>
      <c r="AE11" s="4">
        <f>+dataset!AE11-'dataset (2)'!AE11</f>
        <v>0</v>
      </c>
    </row>
    <row r="12" spans="3:31" x14ac:dyDescent="0.3">
      <c r="C12" s="4">
        <f>+dataset!C12-'dataset (2)'!C12</f>
        <v>0</v>
      </c>
      <c r="D12" s="4">
        <f>+dataset!D12-'dataset (2)'!D12</f>
        <v>0</v>
      </c>
      <c r="E12" s="4">
        <f>+dataset!E12-'dataset (2)'!E12</f>
        <v>0</v>
      </c>
      <c r="F12" s="4">
        <f>+dataset!F12-'dataset (2)'!F12</f>
        <v>0</v>
      </c>
      <c r="G12" s="5">
        <f>+dataset!G12-'dataset (2)'!G12</f>
        <v>-2.0632131784701357E-2</v>
      </c>
      <c r="H12" s="5">
        <f>+dataset!H12-'dataset (2)'!H12</f>
        <v>0</v>
      </c>
      <c r="I12" s="5">
        <f>+dataset!I12-'dataset (2)'!I12</f>
        <v>5.8597162698490024E-2</v>
      </c>
      <c r="J12" s="5">
        <f>+dataset!J12-'dataset (2)'!J12</f>
        <v>0</v>
      </c>
      <c r="K12" s="5">
        <f>+dataset!K12-'dataset (2)'!K12</f>
        <v>0.43625596099070663</v>
      </c>
      <c r="L12" s="5">
        <f>+dataset!L12-'dataset (2)'!L12</f>
        <v>0</v>
      </c>
      <c r="M12" s="5">
        <f>+dataset!M12-'dataset (2)'!M12</f>
        <v>8.1588908772900481E-4</v>
      </c>
      <c r="N12" s="5">
        <f>+dataset!N12-'dataset (2)'!N12</f>
        <v>0</v>
      </c>
      <c r="O12" s="5">
        <f>+dataset!O12-'dataset (2)'!O12</f>
        <v>-7.76766205592061E-3</v>
      </c>
      <c r="P12" s="5">
        <f>+dataset!P12-'dataset (2)'!P12</f>
        <v>0</v>
      </c>
      <c r="Q12" s="5">
        <f>+dataset!Q12-'dataset (2)'!Q12</f>
        <v>5.9594442941950376E-2</v>
      </c>
      <c r="R12" s="5">
        <f>+dataset!R12-'dataset (2)'!R12</f>
        <v>0</v>
      </c>
      <c r="S12" s="5">
        <f>+dataset!S12-'dataset (2)'!S12</f>
        <v>-1.5207960890030847E-2</v>
      </c>
      <c r="T12" s="5">
        <f>+dataset!T12-'dataset (2)'!T12</f>
        <v>0</v>
      </c>
      <c r="U12" s="5">
        <f>+dataset!U12-'dataset (2)'!U12</f>
        <v>11.814034817962238</v>
      </c>
      <c r="V12" s="5">
        <f>+dataset!V12-'dataset (2)'!V12</f>
        <v>0</v>
      </c>
      <c r="W12" s="5">
        <f>+dataset!W12-'dataset (2)'!W12</f>
        <v>4.3513350352295674</v>
      </c>
      <c r="X12" s="5">
        <f>+dataset!X12-'dataset (2)'!X12</f>
        <v>0</v>
      </c>
      <c r="Y12" s="5">
        <f>+dataset!Y12-'dataset (2)'!Y12</f>
        <v>4.4883989871391083E-2</v>
      </c>
      <c r="Z12" s="5">
        <f>+dataset!Z12-'dataset (2)'!Z12</f>
        <v>0</v>
      </c>
      <c r="AA12" s="5">
        <f>+dataset!AA12-'dataset (2)'!AA12</f>
        <v>0.70030848190731376</v>
      </c>
      <c r="AB12" s="5">
        <f>+dataset!AB12-'dataset (2)'!AB12</f>
        <v>0</v>
      </c>
      <c r="AC12" s="4">
        <f>+dataset!AC12-'dataset (2)'!AC12</f>
        <v>0</v>
      </c>
      <c r="AD12" s="4">
        <f>+dataset!AD12-'dataset (2)'!AD12</f>
        <v>0</v>
      </c>
      <c r="AE12" s="4">
        <f>+dataset!AE12-'dataset (2)'!AE12</f>
        <v>0</v>
      </c>
    </row>
    <row r="13" spans="3:31" x14ac:dyDescent="0.3">
      <c r="C13" s="4">
        <f>+dataset!C13-'dataset (2)'!C13</f>
        <v>0</v>
      </c>
      <c r="D13" s="4">
        <f>+dataset!D13-'dataset (2)'!D13</f>
        <v>0</v>
      </c>
      <c r="E13" s="4">
        <f>+dataset!E13-'dataset (2)'!E13</f>
        <v>0</v>
      </c>
      <c r="F13" s="4">
        <f>+dataset!F13-'dataset (2)'!F13</f>
        <v>0</v>
      </c>
      <c r="G13" s="5">
        <f>+dataset!G13-'dataset (2)'!G13</f>
        <v>-3.0432394382430061E-2</v>
      </c>
      <c r="H13" s="5">
        <f>+dataset!H13-'dataset (2)'!H13</f>
        <v>0</v>
      </c>
      <c r="I13" s="5">
        <f>+dataset!I13-'dataset (2)'!I13</f>
        <v>3.3807450679951501E-2</v>
      </c>
      <c r="J13" s="5">
        <f>+dataset!J13-'dataset (2)'!J13</f>
        <v>0</v>
      </c>
      <c r="K13" s="5">
        <f>+dataset!K13-'dataset (2)'!K13</f>
        <v>0.20048624438379647</v>
      </c>
      <c r="L13" s="5">
        <f>+dataset!L13-'dataset (2)'!L13</f>
        <v>0</v>
      </c>
      <c r="M13" s="5">
        <f>+dataset!M13-'dataset (2)'!M13</f>
        <v>8.6472386277902658E-4</v>
      </c>
      <c r="N13" s="5">
        <f>+dataset!N13-'dataset (2)'!N13</f>
        <v>0</v>
      </c>
      <c r="O13" s="5">
        <f>+dataset!O13-'dataset (2)'!O13</f>
        <v>-1.1457301532480813E-2</v>
      </c>
      <c r="P13" s="5">
        <f>+dataset!P13-'dataset (2)'!P13</f>
        <v>0</v>
      </c>
      <c r="Q13" s="5">
        <f>+dataset!Q13-'dataset (2)'!Q13</f>
        <v>2.2285769197431193E-2</v>
      </c>
      <c r="R13" s="5">
        <f>+dataset!R13-'dataset (2)'!R13</f>
        <v>0</v>
      </c>
      <c r="S13" s="5">
        <f>+dataset!S13-'dataset (2)'!S13</f>
        <v>-2.2431742312782887E-2</v>
      </c>
      <c r="T13" s="5">
        <f>+dataset!T13-'dataset (2)'!T13</f>
        <v>0</v>
      </c>
      <c r="U13" s="5">
        <f>+dataset!U13-'dataset (2)'!U13</f>
        <v>11.014778848673814</v>
      </c>
      <c r="V13" s="5">
        <f>+dataset!V13-'dataset (2)'!V13</f>
        <v>0</v>
      </c>
      <c r="W13" s="5">
        <f>+dataset!W13-'dataset (2)'!W13</f>
        <v>3.7364939211270212</v>
      </c>
      <c r="X13" s="5">
        <f>+dataset!X13-'dataset (2)'!X13</f>
        <v>0</v>
      </c>
      <c r="Y13" s="5">
        <f>+dataset!Y13-'dataset (2)'!Y13</f>
        <v>3.0783688228249839E-2</v>
      </c>
      <c r="Z13" s="5">
        <f>+dataset!Z13-'dataset (2)'!Z13</f>
        <v>0</v>
      </c>
      <c r="AA13" s="5">
        <f>+dataset!AA13-'dataset (2)'!AA13</f>
        <v>0.49425728935148072</v>
      </c>
      <c r="AB13" s="5">
        <f>+dataset!AB13-'dataset (2)'!AB13</f>
        <v>0</v>
      </c>
      <c r="AC13" s="4">
        <f>+dataset!AC13-'dataset (2)'!AC13</f>
        <v>0</v>
      </c>
      <c r="AD13" s="4">
        <f>+dataset!AD13-'dataset (2)'!AD13</f>
        <v>0</v>
      </c>
      <c r="AE13" s="4">
        <f>+dataset!AE13-'dataset (2)'!AE13</f>
        <v>0</v>
      </c>
    </row>
    <row r="14" spans="3:31" x14ac:dyDescent="0.3">
      <c r="C14" s="4">
        <f>+dataset!C14-'dataset (2)'!C14</f>
        <v>0</v>
      </c>
      <c r="D14" s="4">
        <f>+dataset!D14-'dataset (2)'!D14</f>
        <v>0</v>
      </c>
      <c r="E14" s="4">
        <f>+dataset!E14-'dataset (2)'!E14</f>
        <v>0</v>
      </c>
      <c r="F14" s="4">
        <f>+dataset!F14-'dataset (2)'!F14</f>
        <v>0</v>
      </c>
      <c r="G14" s="5">
        <f>+dataset!G14-'dataset (2)'!G14</f>
        <v>0</v>
      </c>
      <c r="H14" s="5">
        <f>+dataset!H14-'dataset (2)'!H14</f>
        <v>0</v>
      </c>
      <c r="I14" s="5">
        <f>+dataset!I14-'dataset (2)'!I14</f>
        <v>0</v>
      </c>
      <c r="J14" s="5">
        <f>+dataset!J14-'dataset (2)'!J14</f>
        <v>0</v>
      </c>
      <c r="K14" s="5">
        <f>+dataset!K14-'dataset (2)'!K14</f>
        <v>0</v>
      </c>
      <c r="L14" s="5">
        <f>+dataset!L14-'dataset (2)'!L14</f>
        <v>0</v>
      </c>
      <c r="M14" s="5">
        <f>+dataset!M14-'dataset (2)'!M14</f>
        <v>0</v>
      </c>
      <c r="N14" s="5">
        <f>+dataset!N14-'dataset (2)'!N14</f>
        <v>0</v>
      </c>
      <c r="O14" s="5">
        <f>+dataset!O14-'dataset (2)'!O14</f>
        <v>0</v>
      </c>
      <c r="P14" s="5">
        <f>+dataset!P14-'dataset (2)'!P14</f>
        <v>0</v>
      </c>
      <c r="Q14" s="5">
        <f>+dataset!Q14-'dataset (2)'!Q14</f>
        <v>0</v>
      </c>
      <c r="R14" s="5">
        <f>+dataset!R14-'dataset (2)'!R14</f>
        <v>0</v>
      </c>
      <c r="S14" s="5">
        <f>+dataset!S14-'dataset (2)'!S14</f>
        <v>0</v>
      </c>
      <c r="T14" s="5">
        <f>+dataset!T14-'dataset (2)'!T14</f>
        <v>0</v>
      </c>
      <c r="U14" s="5">
        <f>+dataset!U14-'dataset (2)'!U14</f>
        <v>0</v>
      </c>
      <c r="V14" s="5">
        <f>+dataset!V14-'dataset (2)'!V14</f>
        <v>0</v>
      </c>
      <c r="W14" s="5">
        <f>+dataset!W14-'dataset (2)'!W14</f>
        <v>0</v>
      </c>
      <c r="X14" s="5">
        <f>+dataset!X14-'dataset (2)'!X14</f>
        <v>0</v>
      </c>
      <c r="Y14" s="5">
        <f>+dataset!Y14-'dataset (2)'!Y14</f>
        <v>0</v>
      </c>
      <c r="Z14" s="5">
        <f>+dataset!Z14-'dataset (2)'!Z14</f>
        <v>0</v>
      </c>
      <c r="AA14" s="5">
        <f>+dataset!AA14-'dataset (2)'!AA14</f>
        <v>0</v>
      </c>
      <c r="AB14" s="5">
        <f>+dataset!AB14-'dataset (2)'!AB14</f>
        <v>0</v>
      </c>
      <c r="AC14" s="4">
        <f>+dataset!AC14-'dataset (2)'!AC14</f>
        <v>0</v>
      </c>
      <c r="AD14" s="4">
        <f>+dataset!AD14-'dataset (2)'!AD14</f>
        <v>0</v>
      </c>
      <c r="AE14" s="4">
        <f>+dataset!AE14-'dataset (2)'!AE14</f>
        <v>0</v>
      </c>
    </row>
    <row r="15" spans="3:31" x14ac:dyDescent="0.3">
      <c r="C15" s="4">
        <f>+dataset!C15-'dataset (2)'!C15</f>
        <v>0</v>
      </c>
      <c r="D15" s="4">
        <f>+dataset!D15-'dataset (2)'!D15</f>
        <v>0</v>
      </c>
      <c r="E15" s="4">
        <f>+dataset!E15-'dataset (2)'!E15</f>
        <v>0</v>
      </c>
      <c r="F15" s="4">
        <f>+dataset!F15-'dataset (2)'!F15</f>
        <v>0</v>
      </c>
      <c r="G15" s="5">
        <f>+dataset!G15-'dataset (2)'!G15</f>
        <v>7.6854690898002787E-2</v>
      </c>
      <c r="H15" s="5">
        <f>+dataset!H15-'dataset (2)'!H15</f>
        <v>0</v>
      </c>
      <c r="I15" s="5">
        <f>+dataset!I15-'dataset (2)'!I15</f>
        <v>9.7601475827602258E-3</v>
      </c>
      <c r="J15" s="5">
        <f>+dataset!J15-'dataset (2)'!J15</f>
        <v>0</v>
      </c>
      <c r="K15" s="5">
        <f>+dataset!K15-'dataset (2)'!K15</f>
        <v>0.29457550364702456</v>
      </c>
      <c r="L15" s="5">
        <f>+dataset!L15-'dataset (2)'!L15</f>
        <v>0</v>
      </c>
      <c r="M15" s="5">
        <f>+dataset!M15-'dataset (2)'!M15</f>
        <v>-1.5714325047659905E-3</v>
      </c>
      <c r="N15" s="5">
        <f>+dataset!N15-'dataset (2)'!N15</f>
        <v>0</v>
      </c>
      <c r="O15" s="5">
        <f>+dataset!O15-'dataset (2)'!O15</f>
        <v>2.8934541158308846E-2</v>
      </c>
      <c r="P15" s="5">
        <f>+dataset!P15-'dataset (2)'!P15</f>
        <v>0</v>
      </c>
      <c r="Q15" s="5">
        <f>+dataset!Q15-'dataset (2)'!Q15</f>
        <v>6.2346847989644516E-2</v>
      </c>
      <c r="R15" s="5">
        <f>+dataset!R15-'dataset (2)'!R15</f>
        <v>0</v>
      </c>
      <c r="S15" s="5">
        <f>+dataset!S15-'dataset (2)'!S15</f>
        <v>5.6649654315350517E-2</v>
      </c>
      <c r="T15" s="5">
        <f>+dataset!T15-'dataset (2)'!T15</f>
        <v>0</v>
      </c>
      <c r="U15" s="5">
        <f>+dataset!U15-'dataset (2)'!U15</f>
        <v>-16.226615496364047</v>
      </c>
      <c r="V15" s="5">
        <f>+dataset!V15-'dataset (2)'!V15</f>
        <v>0</v>
      </c>
      <c r="W15" s="5">
        <f>+dataset!W15-'dataset (2)'!W15</f>
        <v>-4.5879135642680922</v>
      </c>
      <c r="X15" s="5">
        <f>+dataset!X15-'dataset (2)'!X15</f>
        <v>0</v>
      </c>
      <c r="Y15" s="5">
        <f>+dataset!Y15-'dataset (2)'!Y15</f>
        <v>-1.3705342665372489E-2</v>
      </c>
      <c r="Z15" s="5">
        <f>+dataset!Z15-'dataset (2)'!Z15</f>
        <v>0</v>
      </c>
      <c r="AA15" s="5">
        <f>+dataset!AA15-'dataset (2)'!AA15</f>
        <v>-0.27429230210395872</v>
      </c>
      <c r="AB15" s="5">
        <f>+dataset!AB15-'dataset (2)'!AB15</f>
        <v>0</v>
      </c>
      <c r="AC15" s="4">
        <f>+dataset!AC15-'dataset (2)'!AC15</f>
        <v>0</v>
      </c>
      <c r="AD15" s="4">
        <f>+dataset!AD15-'dataset (2)'!AD15</f>
        <v>0</v>
      </c>
      <c r="AE15" s="4">
        <f>+dataset!AE15-'dataset (2)'!AE15</f>
        <v>0</v>
      </c>
    </row>
    <row r="16" spans="3:31" x14ac:dyDescent="0.3">
      <c r="C16" s="4">
        <f>+dataset!C16-'dataset (2)'!C16</f>
        <v>0</v>
      </c>
      <c r="D16" s="4">
        <f>+dataset!D16-'dataset (2)'!D16</f>
        <v>0</v>
      </c>
      <c r="E16" s="4">
        <f>+dataset!E16-'dataset (2)'!E16</f>
        <v>0</v>
      </c>
      <c r="F16" s="4">
        <f>+dataset!F16-'dataset (2)'!F16</f>
        <v>0</v>
      </c>
      <c r="G16" s="5">
        <f>+dataset!G16-'dataset (2)'!G16</f>
        <v>0.11347672481584681</v>
      </c>
      <c r="H16" s="5">
        <f>+dataset!H16-'dataset (2)'!H16</f>
        <v>0</v>
      </c>
      <c r="I16" s="5">
        <f>+dataset!I16-'dataset (2)'!I16</f>
        <v>2.8538033826990272E-2</v>
      </c>
      <c r="J16" s="5">
        <f>+dataset!J16-'dataset (2)'!J16</f>
        <v>0</v>
      </c>
      <c r="K16" s="5">
        <f>+dataset!K16-'dataset (2)'!K16</f>
        <v>0.55386753506900277</v>
      </c>
      <c r="L16" s="5">
        <f>+dataset!L16-'dataset (2)'!L16</f>
        <v>0</v>
      </c>
      <c r="M16" s="5">
        <f>+dataset!M16-'dataset (2)'!M16</f>
        <v>-2.2293063717020445E-3</v>
      </c>
      <c r="N16" s="5">
        <f>+dataset!N16-'dataset (2)'!N16</f>
        <v>0</v>
      </c>
      <c r="O16" s="5">
        <f>+dataset!O16-'dataset (2)'!O16</f>
        <v>4.2722141307571349E-2</v>
      </c>
      <c r="P16" s="5">
        <f>+dataset!P16-'dataset (2)'!P16</f>
        <v>0</v>
      </c>
      <c r="Q16" s="5">
        <f>+dataset!Q16-'dataset (2)'!Q16</f>
        <v>0.10967079143222236</v>
      </c>
      <c r="R16" s="5">
        <f>+dataset!R16-'dataset (2)'!R16</f>
        <v>0</v>
      </c>
      <c r="S16" s="5">
        <f>+dataset!S16-'dataset (2)'!S16</f>
        <v>8.3643784895137685E-2</v>
      </c>
      <c r="T16" s="5">
        <f>+dataset!T16-'dataset (2)'!T16</f>
        <v>0</v>
      </c>
      <c r="U16" s="5">
        <f>+dataset!U16-'dataset (2)'!U16</f>
        <v>-22.237708113339067</v>
      </c>
      <c r="V16" s="5">
        <f>+dataset!V16-'dataset (2)'!V16</f>
        <v>0</v>
      </c>
      <c r="W16" s="5">
        <f>+dataset!W16-'dataset (2)'!W16</f>
        <v>-6.0541743215135284</v>
      </c>
      <c r="X16" s="5">
        <f>+dataset!X16-'dataset (2)'!X16</f>
        <v>0</v>
      </c>
      <c r="Y16" s="5">
        <f>+dataset!Y16-'dataset (2)'!Y16</f>
        <v>-1.0727298745636937E-2</v>
      </c>
      <c r="Z16" s="5">
        <f>+dataset!Z16-'dataset (2)'!Z16</f>
        <v>0</v>
      </c>
      <c r="AA16" s="5">
        <f>+dataset!AA16-'dataset (2)'!AA16</f>
        <v>-0.26037850741204238</v>
      </c>
      <c r="AB16" s="5">
        <f>+dataset!AB16-'dataset (2)'!AB16</f>
        <v>0</v>
      </c>
      <c r="AC16" s="4">
        <f>+dataset!AC16-'dataset (2)'!AC16</f>
        <v>0</v>
      </c>
      <c r="AD16" s="4">
        <f>+dataset!AD16-'dataset (2)'!AD16</f>
        <v>0</v>
      </c>
      <c r="AE16" s="4">
        <f>+dataset!AE16-'dataset (2)'!AE16</f>
        <v>0</v>
      </c>
    </row>
    <row r="17" spans="3:31" x14ac:dyDescent="0.3">
      <c r="C17" s="4">
        <f>+dataset!C17-'dataset (2)'!C17</f>
        <v>0</v>
      </c>
      <c r="D17" s="4">
        <f>+dataset!D17-'dataset (2)'!D17</f>
        <v>0</v>
      </c>
      <c r="E17" s="4">
        <f>+dataset!E17-'dataset (2)'!E17</f>
        <v>0</v>
      </c>
      <c r="F17" s="4">
        <f>+dataset!F17-'dataset (2)'!F17</f>
        <v>0</v>
      </c>
      <c r="G17" s="5">
        <f>+dataset!G17-'dataset (2)'!G17</f>
        <v>0</v>
      </c>
      <c r="H17" s="5">
        <f>+dataset!H17-'dataset (2)'!H17</f>
        <v>0</v>
      </c>
      <c r="I17" s="5">
        <f>+dataset!I17-'dataset (2)'!I17</f>
        <v>0</v>
      </c>
      <c r="J17" s="5">
        <f>+dataset!J17-'dataset (2)'!J17</f>
        <v>0</v>
      </c>
      <c r="K17" s="5">
        <f>+dataset!K17-'dataset (2)'!K17</f>
        <v>0</v>
      </c>
      <c r="L17" s="5">
        <f>+dataset!L17-'dataset (2)'!L17</f>
        <v>0</v>
      </c>
      <c r="M17" s="5">
        <f>+dataset!M17-'dataset (2)'!M17</f>
        <v>0</v>
      </c>
      <c r="N17" s="5">
        <f>+dataset!N17-'dataset (2)'!N17</f>
        <v>0</v>
      </c>
      <c r="O17" s="5">
        <f>+dataset!O17-'dataset (2)'!O17</f>
        <v>0</v>
      </c>
      <c r="P17" s="5">
        <f>+dataset!P17-'dataset (2)'!P17</f>
        <v>0</v>
      </c>
      <c r="Q17" s="5">
        <f>+dataset!Q17-'dataset (2)'!Q17</f>
        <v>0</v>
      </c>
      <c r="R17" s="5">
        <f>+dataset!R17-'dataset (2)'!R17</f>
        <v>0</v>
      </c>
      <c r="S17" s="5">
        <f>+dataset!S17-'dataset (2)'!S17</f>
        <v>0</v>
      </c>
      <c r="T17" s="5">
        <f>+dataset!T17-'dataset (2)'!T17</f>
        <v>0</v>
      </c>
      <c r="U17" s="5">
        <f>+dataset!U17-'dataset (2)'!U17</f>
        <v>0</v>
      </c>
      <c r="V17" s="5">
        <f>+dataset!V17-'dataset (2)'!V17</f>
        <v>0</v>
      </c>
      <c r="W17" s="5">
        <f>+dataset!W17-'dataset (2)'!W17</f>
        <v>0</v>
      </c>
      <c r="X17" s="5">
        <f>+dataset!X17-'dataset (2)'!X17</f>
        <v>0</v>
      </c>
      <c r="Y17" s="5">
        <f>+dataset!Y17-'dataset (2)'!Y17</f>
        <v>0</v>
      </c>
      <c r="Z17" s="5">
        <f>+dataset!Z17-'dataset (2)'!Z17</f>
        <v>0</v>
      </c>
      <c r="AA17" s="5">
        <f>+dataset!AA17-'dataset (2)'!AA17</f>
        <v>0</v>
      </c>
      <c r="AB17" s="5">
        <f>+dataset!AB17-'dataset (2)'!AB17</f>
        <v>0</v>
      </c>
      <c r="AC17" s="4">
        <f>+dataset!AC17-'dataset (2)'!AC17</f>
        <v>0</v>
      </c>
      <c r="AD17" s="4">
        <f>+dataset!AD17-'dataset (2)'!AD17</f>
        <v>0</v>
      </c>
      <c r="AE17" s="4">
        <f>+dataset!AE17-'dataset (2)'!AE17</f>
        <v>0</v>
      </c>
    </row>
    <row r="18" spans="3:31" x14ac:dyDescent="0.3">
      <c r="C18" s="4">
        <f>+dataset!C18-'dataset (2)'!C18</f>
        <v>0</v>
      </c>
      <c r="D18" s="4">
        <f>+dataset!D18-'dataset (2)'!D18</f>
        <v>0</v>
      </c>
      <c r="E18" s="4">
        <f>+dataset!E18-'dataset (2)'!E18</f>
        <v>0</v>
      </c>
      <c r="F18" s="4">
        <f>+dataset!F18-'dataset (2)'!F18</f>
        <v>0</v>
      </c>
      <c r="G18" s="5">
        <f>+dataset!G18-'dataset (2)'!G18</f>
        <v>-0.286786631807324</v>
      </c>
      <c r="H18" s="5">
        <f>+dataset!H18-'dataset (2)'!H18</f>
        <v>0</v>
      </c>
      <c r="I18" s="5">
        <f>+dataset!I18-'dataset (2)'!I18</f>
        <v>-9.7637753029538032E-2</v>
      </c>
      <c r="J18" s="5">
        <f>+dataset!J18-'dataset (2)'!J18</f>
        <v>0</v>
      </c>
      <c r="K18" s="5">
        <f>+dataset!K18-'dataset (2)'!K18</f>
        <v>-1.6145579755750532</v>
      </c>
      <c r="L18" s="5">
        <f>+dataset!L18-'dataset (2)'!L18</f>
        <v>0</v>
      </c>
      <c r="M18" s="5">
        <f>+dataset!M18-'dataset (2)'!M18</f>
        <v>5.4698409313371776E-3</v>
      </c>
      <c r="N18" s="5">
        <f>+dataset!N18-'dataset (2)'!N18</f>
        <v>0</v>
      </c>
      <c r="O18" s="5">
        <f>+dataset!O18-'dataset (2)'!O18</f>
        <v>-0.10797050257730945</v>
      </c>
      <c r="P18" s="5">
        <f>+dataset!P18-'dataset (2)'!P18</f>
        <v>0</v>
      </c>
      <c r="Q18" s="5">
        <f>+dataset!Q18-'dataset (2)'!Q18</f>
        <v>-0.30898183490054976</v>
      </c>
      <c r="R18" s="5">
        <f>+dataset!R18-'dataset (2)'!R18</f>
        <v>0</v>
      </c>
      <c r="S18" s="5">
        <f>+dataset!S18-'dataset (2)'!S18</f>
        <v>-0.21139065637137122</v>
      </c>
      <c r="T18" s="5">
        <f>+dataset!T18-'dataset (2)'!T18</f>
        <v>0</v>
      </c>
      <c r="U18" s="5">
        <f>+dataset!U18-'dataset (2)'!U18</f>
        <v>53.092427167495771</v>
      </c>
      <c r="V18" s="5">
        <f>+dataset!V18-'dataset (2)'!V18</f>
        <v>0</v>
      </c>
      <c r="W18" s="5">
        <f>+dataset!W18-'dataset (2)'!W18</f>
        <v>14.000319221842801</v>
      </c>
      <c r="X18" s="5">
        <f>+dataset!X18-'dataset (2)'!X18</f>
        <v>0</v>
      </c>
      <c r="Y18" s="5">
        <f>+dataset!Y18-'dataset (2)'!Y18</f>
        <v>9.9373807900998701E-3</v>
      </c>
      <c r="Z18" s="5">
        <f>+dataset!Z18-'dataset (2)'!Z18</f>
        <v>0</v>
      </c>
      <c r="AA18" s="5">
        <f>+dataset!AA18-'dataset (2)'!AA18</f>
        <v>0.39686072650874848</v>
      </c>
      <c r="AB18" s="5">
        <f>+dataset!AB18-'dataset (2)'!AB18</f>
        <v>0</v>
      </c>
      <c r="AC18" s="4">
        <f>+dataset!AC18-'dataset (2)'!AC18</f>
        <v>0</v>
      </c>
      <c r="AD18" s="4">
        <f>+dataset!AD18-'dataset (2)'!AD18</f>
        <v>0</v>
      </c>
      <c r="AE18" s="4">
        <f>+dataset!AE18-'dataset (2)'!AE18</f>
        <v>0</v>
      </c>
    </row>
    <row r="19" spans="3:31" x14ac:dyDescent="0.3">
      <c r="C19" s="4">
        <f>+dataset!C19-'dataset (2)'!C19</f>
        <v>0</v>
      </c>
      <c r="D19" s="4">
        <f>+dataset!D19-'dataset (2)'!D19</f>
        <v>0</v>
      </c>
      <c r="E19" s="4">
        <f>+dataset!E19-'dataset (2)'!E19</f>
        <v>0</v>
      </c>
      <c r="F19" s="4">
        <f>+dataset!F19-'dataset (2)'!F19</f>
        <v>0</v>
      </c>
      <c r="G19" s="5">
        <f>+dataset!G19-'dataset (2)'!G19</f>
        <v>-0.42347450488095006</v>
      </c>
      <c r="H19" s="5">
        <f>+dataset!H19-'dataset (2)'!H19</f>
        <v>0</v>
      </c>
      <c r="I19" s="5">
        <f>+dataset!I19-'dataset (2)'!I19</f>
        <v>-0.14795958598790548</v>
      </c>
      <c r="J19" s="5">
        <f>+dataset!J19-'dataset (2)'!J19</f>
        <v>0</v>
      </c>
      <c r="K19" s="5">
        <f>+dataset!K19-'dataset (2)'!K19</f>
        <v>-2.4159563846590117</v>
      </c>
      <c r="L19" s="5">
        <f>+dataset!L19-'dataset (2)'!L19</f>
        <v>0</v>
      </c>
      <c r="M19" s="5">
        <f>+dataset!M19-'dataset (2)'!M19</f>
        <v>8.0525016240353686E-3</v>
      </c>
      <c r="N19" s="5">
        <f>+dataset!N19-'dataset (2)'!N19</f>
        <v>0</v>
      </c>
      <c r="O19" s="5">
        <f>+dataset!O19-'dataset (2)'!O19</f>
        <v>-0.15943126369779037</v>
      </c>
      <c r="P19" s="5">
        <f>+dataset!P19-'dataset (2)'!P19</f>
        <v>0</v>
      </c>
      <c r="Q19" s="5">
        <f>+dataset!Q19-'dataset (2)'!Q19</f>
        <v>-0.46096893492632063</v>
      </c>
      <c r="R19" s="5">
        <f>+dataset!R19-'dataset (2)'!R19</f>
        <v>0</v>
      </c>
      <c r="S19" s="5">
        <f>+dataset!S19-'dataset (2)'!S19</f>
        <v>-0.31214339726778206</v>
      </c>
      <c r="T19" s="5">
        <f>+dataset!T19-'dataset (2)'!T19</f>
        <v>0</v>
      </c>
      <c r="U19" s="5">
        <f>+dataset!U19-'dataset (2)'!U19</f>
        <v>77.936053604677909</v>
      </c>
      <c r="V19" s="5">
        <f>+dataset!V19-'dataset (2)'!V19</f>
        <v>0</v>
      </c>
      <c r="W19" s="5">
        <f>+dataset!W19-'dataset (2)'!W19</f>
        <v>20.480203364927547</v>
      </c>
      <c r="X19" s="5">
        <f>+dataset!X19-'dataset (2)'!X19</f>
        <v>0</v>
      </c>
      <c r="Y19" s="5">
        <f>+dataset!Y19-'dataset (2)'!Y19</f>
        <v>1.2125506754298021E-2</v>
      </c>
      <c r="Z19" s="5">
        <f>+dataset!Z19-'dataset (2)'!Z19</f>
        <v>0</v>
      </c>
      <c r="AA19" s="5">
        <f>+dataset!AA19-'dataset (2)'!AA19</f>
        <v>0.54725674029702986</v>
      </c>
      <c r="AB19" s="5">
        <f>+dataset!AB19-'dataset (2)'!AB19</f>
        <v>0</v>
      </c>
      <c r="AC19" s="4">
        <f>+dataset!AC19-'dataset (2)'!AC19</f>
        <v>0</v>
      </c>
      <c r="AD19" s="4">
        <f>+dataset!AD19-'dataset (2)'!AD19</f>
        <v>0</v>
      </c>
      <c r="AE19" s="4">
        <f>+dataset!AE19-'dataset (2)'!AE19</f>
        <v>0</v>
      </c>
    </row>
    <row r="20" spans="3:31" x14ac:dyDescent="0.3">
      <c r="C20" s="4">
        <f>+dataset!C20-'dataset (2)'!C20</f>
        <v>0</v>
      </c>
      <c r="D20" s="4">
        <f>+dataset!D20-'dataset (2)'!D20</f>
        <v>0</v>
      </c>
      <c r="E20" s="4">
        <f>+dataset!E20-'dataset (2)'!E20</f>
        <v>0</v>
      </c>
      <c r="F20" s="4">
        <f>+dataset!F20-'dataset (2)'!F20</f>
        <v>0</v>
      </c>
      <c r="G20" s="5">
        <f>+dataset!G20-'dataset (2)'!G20</f>
        <v>0</v>
      </c>
      <c r="H20" s="5">
        <f>+dataset!H20-'dataset (2)'!H20</f>
        <v>0</v>
      </c>
      <c r="I20" s="5">
        <f>+dataset!I20-'dataset (2)'!I20</f>
        <v>0</v>
      </c>
      <c r="J20" s="5">
        <f>+dataset!J20-'dataset (2)'!J20</f>
        <v>0</v>
      </c>
      <c r="K20" s="5">
        <f>+dataset!K20-'dataset (2)'!K20</f>
        <v>0</v>
      </c>
      <c r="L20" s="5">
        <f>+dataset!L20-'dataset (2)'!L20</f>
        <v>0</v>
      </c>
      <c r="M20" s="5">
        <f>+dataset!M20-'dataset (2)'!M20</f>
        <v>0</v>
      </c>
      <c r="N20" s="5">
        <f>+dataset!N20-'dataset (2)'!N20</f>
        <v>0</v>
      </c>
      <c r="O20" s="5">
        <f>+dataset!O20-'dataset (2)'!O20</f>
        <v>0</v>
      </c>
      <c r="P20" s="5">
        <f>+dataset!P20-'dataset (2)'!P20</f>
        <v>0</v>
      </c>
      <c r="Q20" s="5">
        <f>+dataset!Q20-'dataset (2)'!Q20</f>
        <v>0</v>
      </c>
      <c r="R20" s="5">
        <f>+dataset!R20-'dataset (2)'!R20</f>
        <v>0</v>
      </c>
      <c r="S20" s="5">
        <f>+dataset!S20-'dataset (2)'!S20</f>
        <v>0</v>
      </c>
      <c r="T20" s="5">
        <f>+dataset!T20-'dataset (2)'!T20</f>
        <v>0</v>
      </c>
      <c r="U20" s="5">
        <f>+dataset!U20-'dataset (2)'!U20</f>
        <v>0</v>
      </c>
      <c r="V20" s="5">
        <f>+dataset!V20-'dataset (2)'!V20</f>
        <v>0</v>
      </c>
      <c r="W20" s="5">
        <f>+dataset!W20-'dataset (2)'!W20</f>
        <v>0</v>
      </c>
      <c r="X20" s="5">
        <f>+dataset!X20-'dataset (2)'!X20</f>
        <v>0</v>
      </c>
      <c r="Y20" s="5">
        <f>+dataset!Y20-'dataset (2)'!Y20</f>
        <v>0</v>
      </c>
      <c r="Z20" s="5">
        <f>+dataset!Z20-'dataset (2)'!Z20</f>
        <v>0</v>
      </c>
      <c r="AA20" s="5">
        <f>+dataset!AA20-'dataset (2)'!AA20</f>
        <v>0</v>
      </c>
      <c r="AB20" s="5">
        <f>+dataset!AB20-'dataset (2)'!AB20</f>
        <v>0</v>
      </c>
      <c r="AC20" s="4">
        <f>+dataset!AC20-'dataset (2)'!AC20</f>
        <v>0</v>
      </c>
      <c r="AD20" s="4">
        <f>+dataset!AD20-'dataset (2)'!AD20</f>
        <v>0</v>
      </c>
      <c r="AE20" s="4">
        <f>+dataset!AE20-'dataset (2)'!AE20</f>
        <v>0</v>
      </c>
    </row>
    <row r="21" spans="3:31" x14ac:dyDescent="0.3">
      <c r="C21" s="4">
        <f>+dataset!C21-'dataset (2)'!C21</f>
        <v>0</v>
      </c>
      <c r="D21" s="4">
        <f>+dataset!D21-'dataset (2)'!D21</f>
        <v>0</v>
      </c>
      <c r="E21" s="4">
        <f>+dataset!E21-'dataset (2)'!E21</f>
        <v>0</v>
      </c>
      <c r="F21" s="4">
        <f>+dataset!F21-'dataset (2)'!F21</f>
        <v>0</v>
      </c>
      <c r="G21" s="5">
        <f>+dataset!G21-'dataset (2)'!G21</f>
        <v>1.0702918363312506</v>
      </c>
      <c r="H21" s="5">
        <f>+dataset!H21-'dataset (2)'!H21</f>
        <v>0</v>
      </c>
      <c r="I21" s="5">
        <f>+dataset!I21-'dataset (2)'!I21</f>
        <v>0.38079086453542743</v>
      </c>
      <c r="J21" s="5">
        <f>+dataset!J21-'dataset (2)'!J21</f>
        <v>0</v>
      </c>
      <c r="K21" s="5">
        <f>+dataset!K21-'dataset (2)'!K21</f>
        <v>6.1636563986539841</v>
      </c>
      <c r="L21" s="5">
        <f>+dataset!L21-'dataset (2)'!L21</f>
        <v>0</v>
      </c>
      <c r="M21" s="5">
        <f>+dataset!M21-'dataset (2)'!M21</f>
        <v>-2.0307931220585829E-2</v>
      </c>
      <c r="N21" s="5">
        <f>+dataset!N21-'dataset (2)'!N21</f>
        <v>0</v>
      </c>
      <c r="O21" s="5">
        <f>+dataset!O21-'dataset (2)'!O21</f>
        <v>0.40294746915092006</v>
      </c>
      <c r="P21" s="5">
        <f>+dataset!P21-'dataset (2)'!P21</f>
        <v>0</v>
      </c>
      <c r="Q21" s="5">
        <f>+dataset!Q21-'dataset (2)'!Q21</f>
        <v>1.17358049161259</v>
      </c>
      <c r="R21" s="5">
        <f>+dataset!R21-'dataset (2)'!R21</f>
        <v>0</v>
      </c>
      <c r="S21" s="5">
        <f>+dataset!S21-'dataset (2)'!S21</f>
        <v>0.78891297117008463</v>
      </c>
      <c r="T21" s="5">
        <f>+dataset!T21-'dataset (2)'!T21</f>
        <v>0</v>
      </c>
      <c r="U21" s="5">
        <f>+dataset!U21-'dataset (2)'!U21</f>
        <v>-196.1430931736204</v>
      </c>
      <c r="V21" s="5">
        <f>+dataset!V21-'dataset (2)'!V21</f>
        <v>0</v>
      </c>
      <c r="W21" s="5">
        <f>+dataset!W21-'dataset (2)'!W21</f>
        <v>-51.413363323103113</v>
      </c>
      <c r="X21" s="5">
        <f>+dataset!X21-'dataset (2)'!X21</f>
        <v>0</v>
      </c>
      <c r="Y21" s="5">
        <f>+dataset!Y21-'dataset (2)'!Y21</f>
        <v>-2.6044180495026104E-2</v>
      </c>
      <c r="Z21" s="5">
        <f>+dataset!Z21-'dataset (2)'!Z21</f>
        <v>0</v>
      </c>
      <c r="AA21" s="5">
        <f>+dataset!AA21-'dataset (2)'!AA21</f>
        <v>-1.3131506039302394</v>
      </c>
      <c r="AB21" s="5">
        <f>+dataset!AB21-'dataset (2)'!AB21</f>
        <v>0</v>
      </c>
      <c r="AC21" s="4">
        <f>+dataset!AC21-'dataset (2)'!AC21</f>
        <v>0</v>
      </c>
      <c r="AD21" s="4">
        <f>+dataset!AD21-'dataset (2)'!AD21</f>
        <v>0</v>
      </c>
      <c r="AE21" s="4">
        <f>+dataset!AE21-'dataset (2)'!AE21</f>
        <v>0</v>
      </c>
    </row>
    <row r="22" spans="3:31" x14ac:dyDescent="0.3">
      <c r="C22" s="4">
        <f>+dataset!C22-'dataset (2)'!C22</f>
        <v>0</v>
      </c>
      <c r="D22" s="4">
        <f>+dataset!D22-'dataset (2)'!D22</f>
        <v>0</v>
      </c>
      <c r="E22" s="4">
        <f>+dataset!E22-'dataset (2)'!E22</f>
        <v>0</v>
      </c>
      <c r="F22" s="4">
        <f>+dataset!F22-'dataset (2)'!F22</f>
        <v>0</v>
      </c>
      <c r="G22" s="5">
        <f>+dataset!G22-'dataset (2)'!G22</f>
        <v>1.580421294707925</v>
      </c>
      <c r="H22" s="5">
        <f>+dataset!H22-'dataset (2)'!H22</f>
        <v>0</v>
      </c>
      <c r="I22" s="5">
        <f>+dataset!I22-'dataset (2)'!I22</f>
        <v>0.56330031012459969</v>
      </c>
      <c r="J22" s="5">
        <f>+dataset!J22-'dataset (2)'!J22</f>
        <v>0</v>
      </c>
      <c r="K22" s="5">
        <f>+dataset!K22-'dataset (2)'!K22</f>
        <v>9.1099580035659073</v>
      </c>
      <c r="L22" s="5">
        <f>+dataset!L22-'dataset (2)'!L22</f>
        <v>0</v>
      </c>
      <c r="M22" s="5">
        <f>+dataset!M22-'dataset (2)'!M22</f>
        <v>-2.9980700124438098E-2</v>
      </c>
      <c r="N22" s="5">
        <f>+dataset!N22-'dataset (2)'!N22</f>
        <v>0</v>
      </c>
      <c r="O22" s="5">
        <f>+dataset!O22-'dataset (2)'!O22</f>
        <v>0.59500291348356882</v>
      </c>
      <c r="P22" s="5">
        <f>+dataset!P22-'dataset (2)'!P22</f>
        <v>0</v>
      </c>
      <c r="Q22" s="5">
        <f>+dataset!Q22-'dataset (2)'!Q22</f>
        <v>1.7342049482730921</v>
      </c>
      <c r="R22" s="5">
        <f>+dataset!R22-'dataset (2)'!R22</f>
        <v>0</v>
      </c>
      <c r="S22" s="5">
        <f>+dataset!S22-'dataset (2)'!S22</f>
        <v>1.1649298041759799</v>
      </c>
      <c r="T22" s="5">
        <f>+dataset!T22-'dataset (2)'!T22</f>
        <v>0</v>
      </c>
      <c r="U22" s="5">
        <f>+dataset!U22-'dataset (2)'!U22</f>
        <v>-289.50650630537621</v>
      </c>
      <c r="V22" s="5">
        <f>+dataset!V22-'dataset (2)'!V22</f>
        <v>0</v>
      </c>
      <c r="W22" s="5">
        <f>+dataset!W22-'dataset (2)'!W22</f>
        <v>-75.86663913819666</v>
      </c>
      <c r="X22" s="5">
        <f>+dataset!X22-'dataset (2)'!X22</f>
        <v>0</v>
      </c>
      <c r="Y22" s="5">
        <f>+dataset!Y22-'dataset (2)'!Y22</f>
        <v>-3.7774728271555813E-2</v>
      </c>
      <c r="Z22" s="5">
        <f>+dataset!Z22-'dataset (2)'!Z22</f>
        <v>0</v>
      </c>
      <c r="AA22" s="5">
        <f>+dataset!AA22-'dataset (2)'!AA22</f>
        <v>-1.9286484537755086</v>
      </c>
      <c r="AB22" s="5">
        <f>+dataset!AB22-'dataset (2)'!AB22</f>
        <v>0</v>
      </c>
      <c r="AC22" s="4">
        <f>+dataset!AC22-'dataset (2)'!AC22</f>
        <v>0</v>
      </c>
      <c r="AD22" s="4">
        <f>+dataset!AD22-'dataset (2)'!AD22</f>
        <v>0</v>
      </c>
      <c r="AE22" s="4">
        <f>+dataset!AE22-'dataset (2)'!AE22</f>
        <v>0</v>
      </c>
    </row>
    <row r="23" spans="3:31" x14ac:dyDescent="0.3">
      <c r="C23" s="4">
        <f>+dataset!C23-'dataset (2)'!C23</f>
        <v>0</v>
      </c>
      <c r="D23" s="4">
        <f>+dataset!D23-'dataset (2)'!D23</f>
        <v>0</v>
      </c>
      <c r="E23" s="4">
        <f>+dataset!E23-'dataset (2)'!E23</f>
        <v>0</v>
      </c>
      <c r="F23" s="4">
        <f>+dataset!F23-'dataset (2)'!F23</f>
        <v>0</v>
      </c>
      <c r="G23" s="5">
        <f>+dataset!G23-'dataset (2)'!G23</f>
        <v>0</v>
      </c>
      <c r="H23" s="5">
        <f>+dataset!H23-'dataset (2)'!H23</f>
        <v>0</v>
      </c>
      <c r="I23" s="5">
        <f>+dataset!I23-'dataset (2)'!I23</f>
        <v>0</v>
      </c>
      <c r="J23" s="5">
        <f>+dataset!J23-'dataset (2)'!J23</f>
        <v>0</v>
      </c>
      <c r="K23" s="5">
        <f>+dataset!K23-'dataset (2)'!K23</f>
        <v>0</v>
      </c>
      <c r="L23" s="5">
        <f>+dataset!L23-'dataset (2)'!L23</f>
        <v>0</v>
      </c>
      <c r="M23" s="5">
        <f>+dataset!M23-'dataset (2)'!M23</f>
        <v>0</v>
      </c>
      <c r="N23" s="5">
        <f>+dataset!N23-'dataset (2)'!N23</f>
        <v>0</v>
      </c>
      <c r="O23" s="5">
        <f>+dataset!O23-'dataset (2)'!O23</f>
        <v>0</v>
      </c>
      <c r="P23" s="5">
        <f>+dataset!P23-'dataset (2)'!P23</f>
        <v>0</v>
      </c>
      <c r="Q23" s="5">
        <f>+dataset!Q23-'dataset (2)'!Q23</f>
        <v>0</v>
      </c>
      <c r="R23" s="5">
        <f>+dataset!R23-'dataset (2)'!R23</f>
        <v>0</v>
      </c>
      <c r="S23" s="5">
        <f>+dataset!S23-'dataset (2)'!S23</f>
        <v>0</v>
      </c>
      <c r="T23" s="5">
        <f>+dataset!T23-'dataset (2)'!T23</f>
        <v>0</v>
      </c>
      <c r="U23" s="5">
        <f>+dataset!U23-'dataset (2)'!U23</f>
        <v>0</v>
      </c>
      <c r="V23" s="5">
        <f>+dataset!V23-'dataset (2)'!V23</f>
        <v>0</v>
      </c>
      <c r="W23" s="5">
        <f>+dataset!W23-'dataset (2)'!W23</f>
        <v>0</v>
      </c>
      <c r="X23" s="5">
        <f>+dataset!X23-'dataset (2)'!X23</f>
        <v>0</v>
      </c>
      <c r="Y23" s="5">
        <f>+dataset!Y23-'dataset (2)'!Y23</f>
        <v>0</v>
      </c>
      <c r="Z23" s="5">
        <f>+dataset!Z23-'dataset (2)'!Z23</f>
        <v>0</v>
      </c>
      <c r="AA23" s="5">
        <f>+dataset!AA23-'dataset (2)'!AA23</f>
        <v>0</v>
      </c>
      <c r="AB23" s="5">
        <f>+dataset!AB23-'dataset (2)'!AB23</f>
        <v>0</v>
      </c>
      <c r="AC23" s="4">
        <f>+dataset!AC23-'dataset (2)'!AC23</f>
        <v>0</v>
      </c>
      <c r="AD23" s="4">
        <f>+dataset!AD23-'dataset (2)'!AD23</f>
        <v>0</v>
      </c>
      <c r="AE23" s="4">
        <f>+dataset!AE23-'dataset (2)'!AE23</f>
        <v>0</v>
      </c>
    </row>
    <row r="24" spans="3:31" x14ac:dyDescent="0.3">
      <c r="C24" s="4">
        <f>+dataset!C24-'dataset (2)'!C24</f>
        <v>0</v>
      </c>
      <c r="D24" s="4">
        <f>+dataset!D24-'dataset (2)'!D24</f>
        <v>0</v>
      </c>
      <c r="E24" s="4">
        <f>+dataset!E24-'dataset (2)'!E24</f>
        <v>0</v>
      </c>
      <c r="F24" s="4">
        <f>+dataset!F24-'dataset (2)'!F24</f>
        <v>0</v>
      </c>
      <c r="G24" s="5">
        <f>+dataset!G24-'dataset (2)'!G24</f>
        <v>-29.93518435224415</v>
      </c>
      <c r="H24" s="5">
        <f>+dataset!H24-'dataset (2)'!H24</f>
        <v>-30.5626</v>
      </c>
      <c r="I24" s="5">
        <f>+dataset!I24-'dataset (2)'!I24</f>
        <v>-26.02520953301865</v>
      </c>
      <c r="J24" s="5">
        <f>+dataset!J24-'dataset (2)'!J24</f>
        <v>-27.998999999999999</v>
      </c>
      <c r="K24" s="5">
        <f>+dataset!K24-'dataset (2)'!K24</f>
        <v>-1173.494942126714</v>
      </c>
      <c r="L24" s="5">
        <f>+dataset!L24-'dataset (2)'!L24</f>
        <v>-1169.2280000000001</v>
      </c>
      <c r="M24" s="5">
        <f>+dataset!M24-'dataset (2)'!M24</f>
        <v>-3.1386025972153311</v>
      </c>
      <c r="N24" s="5">
        <f>+dataset!N24-'dataset (2)'!N24</f>
        <v>-3.1440000000000001</v>
      </c>
      <c r="O24" s="5">
        <f>+dataset!O24-'dataset (2)'!O24</f>
        <v>-12.39838103744418</v>
      </c>
      <c r="P24" s="5">
        <f>+dataset!P24-'dataset (2)'!P24</f>
        <v>-12.6502</v>
      </c>
      <c r="Q24" s="5">
        <f>+dataset!Q24-'dataset (2)'!Q24</f>
        <v>-4.3853401315497997</v>
      </c>
      <c r="R24" s="5">
        <f>+dataset!R24-'dataset (2)'!R24</f>
        <v>0</v>
      </c>
      <c r="S24" s="5">
        <f>+dataset!S24-'dataset (2)'!S24</f>
        <v>-27.987779486918509</v>
      </c>
      <c r="T24" s="5">
        <f>+dataset!T24-'dataset (2)'!T24</f>
        <v>-28.368133333333329</v>
      </c>
      <c r="U24" s="5">
        <f>+dataset!U24-'dataset (2)'!U24</f>
        <v>-3071.5991026879742</v>
      </c>
      <c r="V24" s="5">
        <f>+dataset!V24-'dataset (2)'!V24</f>
        <v>-3008.2190999999998</v>
      </c>
      <c r="W24" s="5">
        <f>+dataset!W24-'dataset (2)'!W24</f>
        <v>191.65313407057283</v>
      </c>
      <c r="X24" s="5">
        <f>+dataset!X24-'dataset (2)'!X24</f>
        <v>0</v>
      </c>
      <c r="Y24" s="5">
        <f>+dataset!Y24-'dataset (2)'!Y24</f>
        <v>-0.72093367431326905</v>
      </c>
      <c r="Z24" s="5">
        <f>+dataset!Z24-'dataset (2)'!Z24</f>
        <v>-0.72666666666666668</v>
      </c>
      <c r="AA24" s="5">
        <f>+dataset!AA24-'dataset (2)'!AA24</f>
        <v>-675.72825257961506</v>
      </c>
      <c r="AB24" s="5">
        <f>+dataset!AB24-'dataset (2)'!AB24</f>
        <v>-670.72833333333335</v>
      </c>
      <c r="AC24" s="4">
        <f>+dataset!AC24-'dataset (2)'!AC24</f>
        <v>0</v>
      </c>
      <c r="AD24" s="4">
        <f>+dataset!AD24-'dataset (2)'!AD24</f>
        <v>0</v>
      </c>
      <c r="AE24" s="4">
        <f>+dataset!AE24-'dataset (2)'!AE24</f>
        <v>0</v>
      </c>
    </row>
    <row r="25" spans="3:31" x14ac:dyDescent="0.3">
      <c r="C25" s="4">
        <f>+dataset!C25-'dataset (2)'!C25</f>
        <v>0</v>
      </c>
      <c r="D25" s="4">
        <f>+dataset!D25-'dataset (2)'!D25</f>
        <v>0</v>
      </c>
      <c r="E25" s="4">
        <f>+dataset!E25-'dataset (2)'!E25</f>
        <v>0</v>
      </c>
      <c r="F25" s="4">
        <f>+dataset!F25-'dataset (2)'!F25</f>
        <v>0</v>
      </c>
      <c r="G25" s="5">
        <f>+dataset!G25-'dataset (2)'!G25</f>
        <v>-30.912389704017539</v>
      </c>
      <c r="H25" s="5">
        <f>+dataset!H25-'dataset (2)'!H25</f>
        <v>-31.255299999999998</v>
      </c>
      <c r="I25" s="5">
        <f>+dataset!I25-'dataset (2)'!I25</f>
        <v>-27.348034293081589</v>
      </c>
      <c r="J25" s="5">
        <f>+dataset!J25-'dataset (2)'!J25</f>
        <v>-29.097000000000001</v>
      </c>
      <c r="K25" s="5">
        <f>+dataset!K25-'dataset (2)'!K25</f>
        <v>-1187.2964203680381</v>
      </c>
      <c r="L25" s="5">
        <f>+dataset!L25-'dataset (2)'!L25</f>
        <v>-1182.4559999999999</v>
      </c>
      <c r="M25" s="5">
        <f>+dataset!M25-'dataset (2)'!M25</f>
        <v>-3.1221042999944859</v>
      </c>
      <c r="N25" s="5">
        <f>+dataset!N25-'dataset (2)'!N25</f>
        <v>-3.125</v>
      </c>
      <c r="O25" s="5">
        <f>+dataset!O25-'dataset (2)'!O25</f>
        <v>-12.150933718844231</v>
      </c>
      <c r="P25" s="5">
        <f>+dataset!P25-'dataset (2)'!P25</f>
        <v>-12.348100000000001</v>
      </c>
      <c r="Q25" s="5">
        <f>+dataset!Q25-'dataset (2)'!Q25</f>
        <v>-6.4758508581660266</v>
      </c>
      <c r="R25" s="5">
        <f>+dataset!R25-'dataset (2)'!R25</f>
        <v>0</v>
      </c>
      <c r="S25" s="5">
        <f>+dataset!S25-'dataset (2)'!S25</f>
        <v>-27.33855692286814</v>
      </c>
      <c r="T25" s="5">
        <f>+dataset!T25-'dataset (2)'!T25</f>
        <v>-27.639366666666671</v>
      </c>
      <c r="U25" s="5">
        <f>+dataset!U25-'dataset (2)'!U25</f>
        <v>-2349.154706594823</v>
      </c>
      <c r="V25" s="5">
        <f>+dataset!V25-'dataset (2)'!V25</f>
        <v>-2341.5205000000001</v>
      </c>
      <c r="W25" s="5">
        <f>+dataset!W25-'dataset (2)'!W25</f>
        <v>282.98635318785728</v>
      </c>
      <c r="X25" s="5">
        <f>+dataset!X25-'dataset (2)'!X25</f>
        <v>0</v>
      </c>
      <c r="Y25" s="5">
        <f>+dataset!Y25-'dataset (2)'!Y25</f>
        <v>-0.74392471722839304</v>
      </c>
      <c r="Z25" s="5">
        <f>+dataset!Z25-'dataset (2)'!Z25</f>
        <v>-0.7543333333333333</v>
      </c>
      <c r="AA25" s="5">
        <f>+dataset!AA25-'dataset (2)'!AA25</f>
        <v>-664.23195761924762</v>
      </c>
      <c r="AB25" s="5">
        <f>+dataset!AB25-'dataset (2)'!AB25</f>
        <v>-661.32266666666669</v>
      </c>
      <c r="AC25" s="4">
        <f>+dataset!AC25-'dataset (2)'!AC25</f>
        <v>0</v>
      </c>
      <c r="AD25" s="4">
        <f>+dataset!AD25-'dataset (2)'!AD25</f>
        <v>0</v>
      </c>
      <c r="AE25" s="4">
        <f>+dataset!AE25-'dataset (2)'!AE25</f>
        <v>0</v>
      </c>
    </row>
    <row r="26" spans="3:31" x14ac:dyDescent="0.3">
      <c r="C26" s="4">
        <f>+dataset!C26-'dataset (2)'!C26</f>
        <v>0</v>
      </c>
      <c r="D26" s="4">
        <f>+dataset!D26-'dataset (2)'!D26</f>
        <v>0</v>
      </c>
      <c r="E26" s="4">
        <f>+dataset!E26-'dataset (2)'!E26</f>
        <v>0</v>
      </c>
      <c r="F26" s="4">
        <f>+dataset!F26-'dataset (2)'!F26</f>
        <v>0</v>
      </c>
      <c r="G26" s="5">
        <f>+dataset!G26-'dataset (2)'!G26</f>
        <v>0</v>
      </c>
      <c r="H26" s="5">
        <f>+dataset!H26-'dataset (2)'!H26</f>
        <v>0</v>
      </c>
      <c r="I26" s="5">
        <f>+dataset!I26-'dataset (2)'!I26</f>
        <v>0</v>
      </c>
      <c r="J26" s="5">
        <f>+dataset!J26-'dataset (2)'!J26</f>
        <v>0</v>
      </c>
      <c r="K26" s="5">
        <f>+dataset!K26-'dataset (2)'!K26</f>
        <v>0</v>
      </c>
      <c r="L26" s="5">
        <f>+dataset!L26-'dataset (2)'!L26</f>
        <v>0</v>
      </c>
      <c r="M26" s="5">
        <f>+dataset!M26-'dataset (2)'!M26</f>
        <v>0</v>
      </c>
      <c r="N26" s="5">
        <f>+dataset!N26-'dataset (2)'!N26</f>
        <v>0</v>
      </c>
      <c r="O26" s="5">
        <f>+dataset!O26-'dataset (2)'!O26</f>
        <v>0</v>
      </c>
      <c r="P26" s="5">
        <f>+dataset!P26-'dataset (2)'!P26</f>
        <v>0</v>
      </c>
      <c r="Q26" s="5">
        <f>+dataset!Q26-'dataset (2)'!Q26</f>
        <v>0</v>
      </c>
      <c r="R26" s="5">
        <f>+dataset!R26-'dataset (2)'!R26</f>
        <v>0</v>
      </c>
      <c r="S26" s="5">
        <f>+dataset!S26-'dataset (2)'!S26</f>
        <v>0</v>
      </c>
      <c r="T26" s="5">
        <f>+dataset!T26-'dataset (2)'!T26</f>
        <v>0</v>
      </c>
      <c r="U26" s="5">
        <f>+dataset!U26-'dataset (2)'!U26</f>
        <v>0</v>
      </c>
      <c r="V26" s="5">
        <f>+dataset!V26-'dataset (2)'!V26</f>
        <v>0</v>
      </c>
      <c r="W26" s="5">
        <f>+dataset!W26-'dataset (2)'!W26</f>
        <v>0</v>
      </c>
      <c r="X26" s="5">
        <f>+dataset!X26-'dataset (2)'!X26</f>
        <v>0</v>
      </c>
      <c r="Y26" s="5">
        <f>+dataset!Y26-'dataset (2)'!Y26</f>
        <v>0</v>
      </c>
      <c r="Z26" s="5">
        <f>+dataset!Z26-'dataset (2)'!Z26</f>
        <v>0</v>
      </c>
      <c r="AA26" s="5">
        <f>+dataset!AA26-'dataset (2)'!AA26</f>
        <v>0</v>
      </c>
      <c r="AB26" s="5">
        <f>+dataset!AB26-'dataset (2)'!AB26</f>
        <v>-651.91700000000003</v>
      </c>
      <c r="AC26" s="4">
        <f>+dataset!AC26-'dataset (2)'!AC26</f>
        <v>0</v>
      </c>
      <c r="AD26" s="4">
        <f>+dataset!AD26-'dataset (2)'!AD26</f>
        <v>0</v>
      </c>
      <c r="AE26" s="4">
        <f>+dataset!AE26-'dataset (2)'!AE26</f>
        <v>0</v>
      </c>
    </row>
    <row r="27" spans="3:31" x14ac:dyDescent="0.3">
      <c r="C27" s="4">
        <f>+dataset!C27-'dataset (2)'!C27</f>
        <v>0</v>
      </c>
      <c r="D27" s="4">
        <f>+dataset!D27-'dataset (2)'!D27</f>
        <v>0</v>
      </c>
      <c r="E27" s="4">
        <f>+dataset!E27-'dataset (2)'!E27</f>
        <v>0</v>
      </c>
      <c r="F27" s="4">
        <f>+dataset!F27-'dataset (2)'!F27</f>
        <v>0</v>
      </c>
      <c r="G27" s="5">
        <f>+dataset!G27-'dataset (2)'!G27</f>
        <v>-32.188499184871347</v>
      </c>
      <c r="H27" s="5">
        <f>+dataset!H27-'dataset (2)'!H27</f>
        <v>-30.255366666666671</v>
      </c>
      <c r="I27" s="5">
        <f>+dataset!I27-'dataset (2)'!I27</f>
        <v>-33.891632373585082</v>
      </c>
      <c r="J27" s="5">
        <f>+dataset!J27-'dataset (2)'!J27</f>
        <v>-33.841999999999999</v>
      </c>
      <c r="K27" s="5">
        <f>+dataset!K27-'dataset (2)'!K27</f>
        <v>-1196.9372462986289</v>
      </c>
      <c r="L27" s="5">
        <f>+dataset!L27-'dataset (2)'!L27</f>
        <v>-1187.509</v>
      </c>
      <c r="M27" s="5">
        <f>+dataset!M27-'dataset (2)'!M27</f>
        <v>-3.0827845888944032</v>
      </c>
      <c r="N27" s="5">
        <f>+dataset!N27-'dataset (2)'!N27</f>
        <v>-3.065666666666667</v>
      </c>
      <c r="O27" s="5">
        <f>+dataset!O27-'dataset (2)'!O27</f>
        <v>-11.919621836711331</v>
      </c>
      <c r="P27" s="5">
        <f>+dataset!P27-'dataset (2)'!P27</f>
        <v>-11.67956666666667</v>
      </c>
      <c r="Q27" s="5">
        <f>+dataset!Q27-'dataset (2)'!Q27</f>
        <v>-51.170337035764732</v>
      </c>
      <c r="R27" s="5">
        <f>+dataset!R27-'dataset (2)'!R27</f>
        <v>-39.756666666666668</v>
      </c>
      <c r="S27" s="5">
        <f>+dataset!S27-'dataset (2)'!S27</f>
        <v>-26.465276410465201</v>
      </c>
      <c r="T27" s="5">
        <f>+dataset!T27-'dataset (2)'!T27</f>
        <v>-26.129733333333331</v>
      </c>
      <c r="U27" s="5">
        <f>+dataset!U27-'dataset (2)'!U27</f>
        <v>-1215.838071182955</v>
      </c>
      <c r="V27" s="5">
        <f>+dataset!V27-'dataset (2)'!V27</f>
        <v>-1654.170233333333</v>
      </c>
      <c r="W27" s="5">
        <f>+dataset!W27-'dataset (2)'!W27</f>
        <v>-1940.236839180885</v>
      </c>
      <c r="X27" s="5">
        <f>+dataset!X27-'dataset (2)'!X27</f>
        <v>-2385.692833333334</v>
      </c>
      <c r="Y27" s="5">
        <f>+dataset!Y27-'dataset (2)'!Y27</f>
        <v>-0.84918639388271822</v>
      </c>
      <c r="Z27" s="5">
        <f>+dataset!Z27-'dataset (2)'!Z27</f>
        <v>-0.89700000000000002</v>
      </c>
      <c r="AA27" s="5">
        <f>+dataset!AA27-'dataset (2)'!AA27</f>
        <v>-645.05526460297472</v>
      </c>
      <c r="AB27" s="5">
        <f>+dataset!AB27-'dataset (2)'!AB27</f>
        <v>-658.87099999999998</v>
      </c>
      <c r="AC27" s="4">
        <f>+dataset!AC27-'dataset (2)'!AC27</f>
        <v>0</v>
      </c>
      <c r="AD27" s="4">
        <f>+dataset!AD27-'dataset (2)'!AD27</f>
        <v>0</v>
      </c>
      <c r="AE27" s="4">
        <f>+dataset!AE27-'dataset (2)'!AE27</f>
        <v>0</v>
      </c>
    </row>
    <row r="28" spans="3:31" x14ac:dyDescent="0.3">
      <c r="C28" s="4">
        <f>+dataset!C28-'dataset (2)'!C28</f>
        <v>0</v>
      </c>
      <c r="D28" s="4">
        <f>+dataset!D28-'dataset (2)'!D28</f>
        <v>0</v>
      </c>
      <c r="E28" s="4">
        <f>+dataset!E28-'dataset (2)'!E28</f>
        <v>0</v>
      </c>
      <c r="F28" s="4">
        <f>+dataset!F28-'dataset (2)'!F28</f>
        <v>0</v>
      </c>
      <c r="G28" s="5">
        <f>+dataset!G28-'dataset (2)'!G28</f>
        <v>-30.7803712033114</v>
      </c>
      <c r="H28" s="5">
        <f>+dataset!H28-'dataset (2)'!H28</f>
        <v>-28.56273333333333</v>
      </c>
      <c r="I28" s="5">
        <f>+dataset!I28-'dataset (2)'!I28</f>
        <v>-37.763457133648018</v>
      </c>
      <c r="J28" s="5">
        <f>+dataset!J28-'dataset (2)'!J28</f>
        <v>-37.488999999999997</v>
      </c>
      <c r="K28" s="5">
        <f>+dataset!K28-'dataset (2)'!K28</f>
        <v>-1189.3357245399529</v>
      </c>
      <c r="L28" s="5">
        <f>+dataset!L28-'dataset (2)'!L28</f>
        <v>-1179.3340000000001</v>
      </c>
      <c r="M28" s="5">
        <f>+dataset!M28-'dataset (2)'!M28</f>
        <v>-3.0449529583402248</v>
      </c>
      <c r="N28" s="5">
        <f>+dataset!N28-'dataset (2)'!N28</f>
        <v>-3.0253333333333332</v>
      </c>
      <c r="O28" s="5">
        <f>+dataset!O28-'dataset (2)'!O28</f>
        <v>-11.60784118477804</v>
      </c>
      <c r="P28" s="5">
        <f>+dataset!P28-'dataset (2)'!P28</f>
        <v>-11.313133333333329</v>
      </c>
      <c r="Q28" s="5">
        <f>+dataset!Q28-'dataset (2)'!Q28</f>
        <v>-46.203143516928122</v>
      </c>
      <c r="R28" s="5">
        <f>+dataset!R28-'dataset (2)'!R28</f>
        <v>-33.269333333333343</v>
      </c>
      <c r="S28" s="5">
        <f>+dataset!S28-'dataset (2)'!S28</f>
        <v>-25.763953846414829</v>
      </c>
      <c r="T28" s="5">
        <f>+dataset!T28-'dataset (2)'!T28</f>
        <v>-25.34886666666667</v>
      </c>
      <c r="U28" s="5">
        <f>+dataset!U28-'dataset (2)'!U28</f>
        <v>-1139.4406084231371</v>
      </c>
      <c r="V28" s="5">
        <f>+dataset!V28-'dataset (2)'!V28</f>
        <v>-1633.5185666666671</v>
      </c>
      <c r="W28" s="5">
        <f>+dataset!W28-'dataset (2)'!W28</f>
        <v>-1873.600451753884</v>
      </c>
      <c r="X28" s="5">
        <f>+dataset!X28-'dataset (2)'!X28</f>
        <v>-2376.8130666666671</v>
      </c>
      <c r="Y28" s="5">
        <f>+dataset!Y28-'dataset (2)'!Y28</f>
        <v>-0.95951077013117536</v>
      </c>
      <c r="Z28" s="5">
        <f>+dataset!Z28-'dataset (2)'!Z28</f>
        <v>-1.012</v>
      </c>
      <c r="AA28" s="5">
        <f>+dataset!AA28-'dataset (2)'!AA28</f>
        <v>-649.91863630927378</v>
      </c>
      <c r="AB28" s="5">
        <f>+dataset!AB28-'dataset (2)'!AB28</f>
        <v>-665.82500000000005</v>
      </c>
      <c r="AC28" s="4">
        <f>+dataset!AC28-'dataset (2)'!AC28</f>
        <v>0</v>
      </c>
      <c r="AD28" s="4">
        <f>+dataset!AD28-'dataset (2)'!AD28</f>
        <v>0</v>
      </c>
      <c r="AE28" s="4">
        <f>+dataset!AE28-'dataset (2)'!AE28</f>
        <v>0</v>
      </c>
    </row>
    <row r="29" spans="3:31" x14ac:dyDescent="0.3">
      <c r="C29" s="4">
        <f>+dataset!C29-'dataset (2)'!C29</f>
        <v>0</v>
      </c>
      <c r="D29" s="4">
        <f>+dataset!D29-'dataset (2)'!D29</f>
        <v>0</v>
      </c>
      <c r="E29" s="4">
        <f>+dataset!E29-'dataset (2)'!E29</f>
        <v>0</v>
      </c>
      <c r="F29" s="4">
        <f>+dataset!F29-'dataset (2)'!F29</f>
        <v>0</v>
      </c>
      <c r="G29" s="5">
        <f>+dataset!G29-'dataset (2)'!G29</f>
        <v>0</v>
      </c>
      <c r="H29" s="5">
        <f>+dataset!H29-'dataset (2)'!H29</f>
        <v>0</v>
      </c>
      <c r="I29" s="5">
        <f>+dataset!I29-'dataset (2)'!I29</f>
        <v>0</v>
      </c>
      <c r="J29" s="5">
        <f>+dataset!J29-'dataset (2)'!J29</f>
        <v>0</v>
      </c>
      <c r="K29" s="5">
        <f>+dataset!K29-'dataset (2)'!K29</f>
        <v>0</v>
      </c>
      <c r="L29" s="5">
        <f>+dataset!L29-'dataset (2)'!L29</f>
        <v>0</v>
      </c>
      <c r="M29" s="5">
        <f>+dataset!M29-'dataset (2)'!M29</f>
        <v>0</v>
      </c>
      <c r="N29" s="5">
        <f>+dataset!N29-'dataset (2)'!N29</f>
        <v>0</v>
      </c>
      <c r="O29" s="5">
        <f>+dataset!O29-'dataset (2)'!O29</f>
        <v>0</v>
      </c>
      <c r="P29" s="5">
        <f>+dataset!P29-'dataset (2)'!P29</f>
        <v>0</v>
      </c>
      <c r="Q29" s="5">
        <f>+dataset!Q29-'dataset (2)'!Q29</f>
        <v>0</v>
      </c>
      <c r="R29" s="5">
        <f>+dataset!R29-'dataset (2)'!R29</f>
        <v>0</v>
      </c>
      <c r="S29" s="5">
        <f>+dataset!S29-'dataset (2)'!S29</f>
        <v>0</v>
      </c>
      <c r="T29" s="5">
        <f>+dataset!T29-'dataset (2)'!T29</f>
        <v>0</v>
      </c>
      <c r="U29" s="5">
        <f>+dataset!U29-'dataset (2)'!U29</f>
        <v>0</v>
      </c>
      <c r="V29" s="5">
        <f>+dataset!V29-'dataset (2)'!V29</f>
        <v>0</v>
      </c>
      <c r="W29" s="5">
        <f>+dataset!W29-'dataset (2)'!W29</f>
        <v>0</v>
      </c>
      <c r="X29" s="5">
        <f>+dataset!X29-'dataset (2)'!X29</f>
        <v>0</v>
      </c>
      <c r="Y29" s="5">
        <f>+dataset!Y29-'dataset (2)'!Y29</f>
        <v>0</v>
      </c>
      <c r="Z29" s="5">
        <f>+dataset!Z29-'dataset (2)'!Z29</f>
        <v>0</v>
      </c>
      <c r="AA29" s="5">
        <f>+dataset!AA29-'dataset (2)'!AA29</f>
        <v>0</v>
      </c>
      <c r="AB29" s="5">
        <f>+dataset!AB29-'dataset (2)'!AB29</f>
        <v>-672.779</v>
      </c>
      <c r="AC29" s="4">
        <f>+dataset!AC29-'dataset (2)'!AC29</f>
        <v>0</v>
      </c>
      <c r="AD29" s="4">
        <f>+dataset!AD29-'dataset (2)'!AD29</f>
        <v>0</v>
      </c>
      <c r="AE29" s="4">
        <f>+dataset!AE29-'dataset (2)'!AE29</f>
        <v>0</v>
      </c>
    </row>
    <row r="30" spans="3:31" x14ac:dyDescent="0.3">
      <c r="C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dataset (2)</vt:lpstr>
      <vt:lpstr>dataset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Bonino</dc:creator>
  <cp:lastModifiedBy>Andrés Bonino</cp:lastModifiedBy>
  <dcterms:created xsi:type="dcterms:W3CDTF">2024-11-29T19:13:49Z</dcterms:created>
  <dcterms:modified xsi:type="dcterms:W3CDTF">2025-06-01T16:50:35Z</dcterms:modified>
</cp:coreProperties>
</file>